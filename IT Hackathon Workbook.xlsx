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brookshiresgrocerycompany-my.sharepoint.com/personal/182636_brookshires_com/Documents/Documents/2026 Hackathon/"/>
    </mc:Choice>
  </mc:AlternateContent>
  <xr:revisionPtr revIDLastSave="0" documentId="8_{24364259-8F13-4321-8B4B-8F30AA8C45DF}" xr6:coauthVersionLast="47" xr6:coauthVersionMax="47" xr10:uidLastSave="{00000000-0000-0000-0000-000000000000}"/>
  <bookViews>
    <workbookView xWindow="-23385" yWindow="16965" windowWidth="21600" windowHeight="11055" firstSheet="2" activeTab="2" xr2:uid="{27BF13C0-0901-4FEA-BF06-DEE5EE9EDAB0}"/>
  </bookViews>
  <sheets>
    <sheet name="Start Here" sheetId="7" r:id="rId1"/>
    <sheet name="Directory Extract" sheetId="6" state="hidden" r:id="rId2"/>
    <sheet name="Partner Directory" sheetId="1" r:id="rId3"/>
    <sheet name="Project List" sheetId="2" r:id="rId4"/>
    <sheet name="Categories" sheetId="3" r:id="rId5"/>
    <sheet name="CapEx - OpEx Classification" sheetId="4" r:id="rId6"/>
    <sheet name="FY26 -FY27 Calendar" sheetId="5" r:id="rId7"/>
  </sheets>
  <definedNames>
    <definedName name="Slicer_Team">#N/A</definedName>
  </definedNames>
  <calcPr calcId="191028"/>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7" i="7" l="1"/>
  <c r="E7" i="7"/>
  <c r="C7" i="7"/>
  <c r="A7" i="7"/>
  <c r="G4" i="7"/>
  <c r="E4" i="7"/>
  <c r="C4" i="7"/>
  <c r="A4" i="7"/>
  <c r="C131" i="1"/>
  <c r="C100" i="1"/>
  <c r="C98" i="1"/>
  <c r="C81" i="1"/>
  <c r="C50" i="1"/>
  <c r="C18" i="1"/>
  <c r="C7" i="1"/>
  <c r="C124" i="1" l="1"/>
  <c r="C112" i="1"/>
  <c r="C108" i="1"/>
  <c r="C89" i="1"/>
  <c r="C82" i="1"/>
  <c r="C79" i="1"/>
  <c r="C55" i="1"/>
  <c r="C28" i="1"/>
  <c r="C25" i="1"/>
  <c r="C11" i="1"/>
  <c r="C5" i="1"/>
  <c r="C75" i="1"/>
  <c r="C130" i="1"/>
  <c r="C91" i="1"/>
  <c r="C17" i="1"/>
  <c r="C129" i="1"/>
  <c r="C118" i="1"/>
  <c r="C90" i="1"/>
  <c r="B90" i="1"/>
  <c r="C74" i="1"/>
  <c r="C70" i="1"/>
  <c r="C65" i="1"/>
  <c r="C41" i="1"/>
  <c r="C21" i="1"/>
  <c r="C54" i="1"/>
  <c r="B54" i="1"/>
  <c r="C35" i="1"/>
  <c r="C49" i="1"/>
  <c r="C111" i="1"/>
  <c r="C121" i="1"/>
  <c r="C101" i="1"/>
  <c r="B101" i="1"/>
  <c r="C95" i="1"/>
  <c r="C84" i="1"/>
  <c r="C8" i="1"/>
  <c r="B8" i="1"/>
  <c r="C24" i="1"/>
  <c r="B24" i="1"/>
  <c r="C106" i="1"/>
  <c r="B106" i="1"/>
  <c r="C33" i="1"/>
  <c r="B83" i="1"/>
  <c r="C136" i="1"/>
  <c r="B136" i="1"/>
  <c r="C62" i="1"/>
  <c r="B62" i="1"/>
  <c r="C16" i="1"/>
  <c r="B16" i="1"/>
  <c r="C6" i="1"/>
  <c r="B131" i="1"/>
  <c r="C92" i="1"/>
  <c r="C76" i="1"/>
  <c r="C68" i="1"/>
  <c r="C63" i="1"/>
  <c r="B63" i="1"/>
  <c r="C39" i="1"/>
  <c r="C19" i="1"/>
  <c r="B19" i="1"/>
  <c r="C53" i="1"/>
  <c r="C34" i="1"/>
  <c r="B34" i="1"/>
  <c r="C48" i="1"/>
  <c r="B48" i="1"/>
  <c r="C47" i="1"/>
  <c r="B47" i="1"/>
  <c r="C115" i="1"/>
  <c r="B115" i="1"/>
  <c r="C125" i="1"/>
  <c r="C105" i="1"/>
  <c r="B105" i="1"/>
  <c r="C99" i="1"/>
  <c r="C88" i="1"/>
  <c r="B88" i="1"/>
  <c r="C12" i="1"/>
  <c r="C110" i="1"/>
  <c r="C32" i="1"/>
  <c r="B32" i="1"/>
  <c r="C135" i="1"/>
  <c r="B135" i="1"/>
  <c r="B61" i="1"/>
  <c r="C4" i="1"/>
  <c r="B4" i="1"/>
  <c r="C128" i="1"/>
  <c r="C117" i="1"/>
  <c r="C73" i="1"/>
  <c r="C72" i="1"/>
  <c r="B72" i="1"/>
  <c r="C67" i="1"/>
  <c r="C42" i="1"/>
  <c r="B42" i="1"/>
  <c r="C57" i="1"/>
  <c r="C52" i="1"/>
  <c r="B52" i="1"/>
  <c r="C46" i="1"/>
  <c r="C114" i="1"/>
  <c r="C104" i="1"/>
  <c r="B98" i="1"/>
  <c r="C87" i="1"/>
  <c r="C109" i="1"/>
  <c r="C31" i="1"/>
  <c r="C134" i="1"/>
  <c r="C60" i="1"/>
  <c r="B60" i="1"/>
  <c r="C14" i="1"/>
  <c r="C3" i="1"/>
  <c r="B3" i="1"/>
  <c r="C127" i="1"/>
  <c r="B127" i="1"/>
  <c r="C116" i="1"/>
  <c r="B116" i="1"/>
  <c r="C94" i="1"/>
  <c r="C78" i="1"/>
  <c r="B78" i="1"/>
  <c r="C71" i="1"/>
  <c r="C66" i="1"/>
  <c r="B66" i="1"/>
  <c r="C22" i="1"/>
  <c r="B22" i="1"/>
  <c r="C56" i="1"/>
  <c r="C37" i="1"/>
  <c r="C51" i="1"/>
  <c r="C45" i="1"/>
  <c r="B45" i="1"/>
  <c r="C113" i="1"/>
  <c r="B113" i="1"/>
  <c r="C123" i="1"/>
  <c r="B123" i="1"/>
  <c r="C103" i="1"/>
  <c r="B103" i="1"/>
  <c r="C97" i="1"/>
  <c r="B97" i="1"/>
  <c r="C86" i="1"/>
  <c r="B86" i="1"/>
  <c r="C10" i="1"/>
  <c r="C26" i="1"/>
  <c r="B26" i="1"/>
  <c r="B108" i="1"/>
  <c r="C30" i="1"/>
  <c r="C80" i="1"/>
  <c r="B80" i="1"/>
  <c r="C59" i="1"/>
  <c r="B59" i="1"/>
  <c r="C13" i="1"/>
  <c r="B13" i="1"/>
  <c r="C2" i="1"/>
  <c r="B2" i="1"/>
  <c r="B126" i="1"/>
  <c r="C120" i="1"/>
  <c r="C93" i="1"/>
  <c r="B93" i="1"/>
  <c r="C77" i="1"/>
  <c r="C69" i="1"/>
  <c r="C64" i="1"/>
  <c r="B64" i="1"/>
  <c r="C40" i="1"/>
  <c r="B40" i="1"/>
  <c r="C20" i="1"/>
  <c r="B50" i="1"/>
  <c r="C44" i="1"/>
  <c r="C122" i="1"/>
  <c r="C102" i="1"/>
  <c r="B102" i="1"/>
  <c r="C96" i="1"/>
  <c r="C85" i="1"/>
  <c r="B85" i="1"/>
  <c r="C107" i="1"/>
  <c r="C29" i="1"/>
  <c r="B29" i="1"/>
  <c r="C132" i="1"/>
  <c r="B132" i="1"/>
  <c r="C58" i="1"/>
  <c r="B58" i="1"/>
</calcChain>
</file>

<file path=xl/sharedStrings.xml><?xml version="1.0" encoding="utf-8"?>
<sst xmlns="http://schemas.openxmlformats.org/spreadsheetml/2006/main" count="1963" uniqueCount="639">
  <si>
    <t>AI HACKATHON  TIME TRACKING DATASET</t>
  </si>
  <si>
    <t>Synthetic reference data for teams building a time tracking application prototype.</t>
  </si>
  <si>
    <t>DATASET AT A GLANCE</t>
  </si>
  <si>
    <t>Directory records</t>
  </si>
  <si>
    <t>Active people</t>
  </si>
  <si>
    <t>Projects</t>
  </si>
  <si>
    <t>Active projects</t>
  </si>
  <si>
    <t>Project task codes</t>
  </si>
  <si>
    <t>Non-project codes</t>
  </si>
  <si>
    <t>Fiscal periods</t>
  </si>
  <si>
    <t>Capital-related rules</t>
  </si>
  <si>
    <t>WORKBOOK CONTENTS</t>
  </si>
  <si>
    <t>Sheet</t>
  </si>
  <si>
    <t>What it provides</t>
  </si>
  <si>
    <t>Partner Directory</t>
  </si>
  <si>
    <t>Synthetic people, roles, teams, identifiers, employment type, and status.</t>
  </si>
  <si>
    <t>Project List</t>
  </si>
  <si>
    <t>Synthetic projects, project numbers, lifecycle status, notes, and managers.</t>
  </si>
  <si>
    <t>Categories</t>
  </si>
  <si>
    <t>Allowed project task codes and non-project work codes.</t>
  </si>
  <si>
    <t>CapEx - OpEx Classification</t>
  </si>
  <si>
    <t>Expense treatment rules for each project task code.</t>
  </si>
  <si>
    <t>FY26 -FY27 Calendar</t>
  </si>
  <si>
    <t>Fiscal periods for FY2026 and FY2027; weeks run Wednesday–Tuesday.</t>
  </si>
  <si>
    <t>PURPOSE &amp; SCOPE</t>
  </si>
  <si>
    <t xml:space="preserve">This workbook is a synthetic reference-data pack for the AI Hackathon. It supports prototypes that need people, projects, work categories, expense classifications, and fiscal-period logic. </t>
  </si>
  <si>
    <t>Row Labels</t>
  </si>
  <si>
    <t>Role</t>
  </si>
  <si>
    <t>Team</t>
  </si>
  <si>
    <t>Partner ID</t>
  </si>
  <si>
    <t>Email Address</t>
  </si>
  <si>
    <t>Employment</t>
  </si>
  <si>
    <t>Status</t>
  </si>
  <si>
    <t>Aaliyah Abbott</t>
  </si>
  <si>
    <t>Help Desk Supervisor</t>
  </si>
  <si>
    <t>IT-Help Desk</t>
  </si>
  <si>
    <t>EMP0025</t>
  </si>
  <si>
    <t>aaliyah.abbott@hackathon.com</t>
  </si>
  <si>
    <t>Partner</t>
  </si>
  <si>
    <t>Active</t>
  </si>
  <si>
    <t>Aaron Alvarez</t>
  </si>
  <si>
    <t>Project Manager</t>
  </si>
  <si>
    <t>IT- PMO</t>
  </si>
  <si>
    <t>EMP0051</t>
  </si>
  <si>
    <t>aaron.alvarez@hackathon.com</t>
  </si>
  <si>
    <t>Abigail Anderson</t>
  </si>
  <si>
    <t>Technical Project Lead</t>
  </si>
  <si>
    <t>IT-Application Development</t>
  </si>
  <si>
    <t>EMP0077</t>
  </si>
  <si>
    <t>abigail.anderson@hackathon.com</t>
  </si>
  <si>
    <t>Adrian Baker</t>
  </si>
  <si>
    <t>Business Systems Manager</t>
  </si>
  <si>
    <t xml:space="preserve">IT Retail BSM </t>
  </si>
  <si>
    <t>EMP0129</t>
  </si>
  <si>
    <t>adrian.baker@hackathon.com</t>
  </si>
  <si>
    <t>Aisha Banerjee</t>
  </si>
  <si>
    <t>Enterprise Endpoint Administrator</t>
  </si>
  <si>
    <t>Reasor's Support and Retail- 9016</t>
  </si>
  <si>
    <t>EMP0103</t>
  </si>
  <si>
    <t>aisha.banerjee@hackathon.com</t>
  </si>
  <si>
    <t>Alejandro Banks</t>
  </si>
  <si>
    <t>TP00019</t>
  </si>
  <si>
    <t>alejandro.banks@hackathon.com</t>
  </si>
  <si>
    <t>Contractor</t>
  </si>
  <si>
    <t>Alexis Barrett</t>
  </si>
  <si>
    <t>Information Security Analyst</t>
  </si>
  <si>
    <t>IT- Security</t>
  </si>
  <si>
    <t>EMP0111</t>
  </si>
  <si>
    <t>alexis.barrett@hackathon.com</t>
  </si>
  <si>
    <t>Amara Bautista</t>
  </si>
  <si>
    <t>Trainer</t>
  </si>
  <si>
    <t>IT-Training</t>
  </si>
  <si>
    <t>EMP0007</t>
  </si>
  <si>
    <t>amara.bautista@hackathon.com</t>
  </si>
  <si>
    <t>Amir Becker</t>
  </si>
  <si>
    <t>PC Systems Specialist</t>
  </si>
  <si>
    <t>IT- End Point</t>
  </si>
  <si>
    <t>EMP0033</t>
  </si>
  <si>
    <t>amir.becker@hackathon.com</t>
  </si>
  <si>
    <t>Ana Bell</t>
  </si>
  <si>
    <t>Business System Analyst</t>
  </si>
  <si>
    <t>EMP0059</t>
  </si>
  <si>
    <t>ana.bell@hackathon.com</t>
  </si>
  <si>
    <t>Andre Bishop</t>
  </si>
  <si>
    <t>EMP0085</t>
  </si>
  <si>
    <t>andre.bishop@hackathon.com</t>
  </si>
  <si>
    <t>Inactive</t>
  </si>
  <si>
    <t>Anika Blackwell</t>
  </si>
  <si>
    <t>IT-FI BSM</t>
  </si>
  <si>
    <t>EMP0026</t>
  </si>
  <si>
    <t>anika.blackwell@hackathon.com</t>
  </si>
  <si>
    <t>Anthony Brooks</t>
  </si>
  <si>
    <t>IT-SC BSM</t>
  </si>
  <si>
    <t>EMP0052</t>
  </si>
  <si>
    <t>anthony.brooks@hackathon.com</t>
  </si>
  <si>
    <t>Aria Brown</t>
  </si>
  <si>
    <t>Systems Administrator</t>
  </si>
  <si>
    <t>EMP0078</t>
  </si>
  <si>
    <t>aria.brown@hackathon.com</t>
  </si>
  <si>
    <t>Arianna Campbell</t>
  </si>
  <si>
    <t>Enterprise Endpoint Manager</t>
  </si>
  <si>
    <t>EMP0104</t>
  </si>
  <si>
    <t>arianna.campbell@hackathon.com</t>
  </si>
  <si>
    <t>Asher Castillo</t>
  </si>
  <si>
    <t>Help Desk Analyst</t>
  </si>
  <si>
    <t>EMP0130</t>
  </si>
  <si>
    <t>asher.castillo@hackathon.com</t>
  </si>
  <si>
    <t>Avery Chambers</t>
  </si>
  <si>
    <t>TP00023</t>
  </si>
  <si>
    <t>avery.chambers@hackathon.com</t>
  </si>
  <si>
    <t>Bianca Chang</t>
  </si>
  <si>
    <t xml:space="preserve">Business Systems Analyst </t>
  </si>
  <si>
    <t>IT-Marketing BSM</t>
  </si>
  <si>
    <t>EMP0095</t>
  </si>
  <si>
    <t>bianca.chang@hackathon.com</t>
  </si>
  <si>
    <t>Brandon Chavez</t>
  </si>
  <si>
    <t>Network Systems Manager</t>
  </si>
  <si>
    <t>EMP0017</t>
  </si>
  <si>
    <t>brandon.chavez@hackathon.com</t>
  </si>
  <si>
    <t>Brianna Chen</t>
  </si>
  <si>
    <t>IT Service Technician</t>
  </si>
  <si>
    <t>IT Services (RTS)</t>
  </si>
  <si>
    <t>EMP0121</t>
  </si>
  <si>
    <t>brianna.chen@hackathon.com</t>
  </si>
  <si>
    <t>Caleb Clark</t>
  </si>
  <si>
    <t>Help Desk Manager</t>
  </si>
  <si>
    <t>EMP0043</t>
  </si>
  <si>
    <t>caleb.clark@hackathon.com</t>
  </si>
  <si>
    <t>Camila Coleman</t>
  </si>
  <si>
    <t>Help Desk Analyst I</t>
  </si>
  <si>
    <t>EMP0069</t>
  </si>
  <si>
    <t>camila.coleman@hackathon.com</t>
  </si>
  <si>
    <t>Carmen Collins</t>
  </si>
  <si>
    <t>IT- Technical Support management</t>
  </si>
  <si>
    <t>EMP0110</t>
  </si>
  <si>
    <t>carmen.collins@hackathon.com</t>
  </si>
  <si>
    <t>Carter Cooper</t>
  </si>
  <si>
    <t>EMP0006</t>
  </si>
  <si>
    <t>carter.cooper@hackathon.com</t>
  </si>
  <si>
    <t>Cassidy Cruz</t>
  </si>
  <si>
    <t>EMP0032</t>
  </si>
  <si>
    <t>cassidy.cruz@hackathon.com</t>
  </si>
  <si>
    <t>Celine Davis</t>
  </si>
  <si>
    <t>EMP0058</t>
  </si>
  <si>
    <t>celine.davis@hackathon.com</t>
  </si>
  <si>
    <t>Chloe Desai</t>
  </si>
  <si>
    <t>EMP0084</t>
  </si>
  <si>
    <t>chloe.desai@hackathon.com</t>
  </si>
  <si>
    <t>Christian Diaz</t>
  </si>
  <si>
    <t>Application Development Manager</t>
  </si>
  <si>
    <t>EMP0004</t>
  </si>
  <si>
    <t>christian.diaz@hackathon.com</t>
  </si>
  <si>
    <t>Clara Edwards</t>
  </si>
  <si>
    <t>EMP0030</t>
  </si>
  <si>
    <t>clara.edwards@hackathon.com</t>
  </si>
  <si>
    <t>Cole Evans</t>
  </si>
  <si>
    <t>EMP0056</t>
  </si>
  <si>
    <t>cole.evans@hackathon.com</t>
  </si>
  <si>
    <t>Dalia Flores</t>
  </si>
  <si>
    <t>Network Systems Analyst</t>
  </si>
  <si>
    <t>IT- Network</t>
  </si>
  <si>
    <t>EMP0082</t>
  </si>
  <si>
    <t>dalia.flores@hackathon.com</t>
  </si>
  <si>
    <t>Damian Foster</t>
  </si>
  <si>
    <t>EMP0108</t>
  </si>
  <si>
    <t>damian.foster@hackathon.com</t>
  </si>
  <si>
    <t>Daniel Garcia</t>
  </si>
  <si>
    <t>Business Systems Analyst</t>
  </si>
  <si>
    <t>IT- HR BSM</t>
  </si>
  <si>
    <t>EMP0093</t>
  </si>
  <si>
    <t>daniel.garcia@hackathon.com</t>
  </si>
  <si>
    <t>Danielle Gomez</t>
  </si>
  <si>
    <t>Business System Manager</t>
  </si>
  <si>
    <t>EMP0119</t>
  </si>
  <si>
    <t>danielle.gomez@hackathon.com</t>
  </si>
  <si>
    <t>Dante Sato</t>
  </si>
  <si>
    <t>Database Administrator</t>
  </si>
  <si>
    <t>Reasor's Application Development</t>
  </si>
  <si>
    <t>EMP0002</t>
  </si>
  <si>
    <t>dante.sato@hackathon.com</t>
  </si>
  <si>
    <t>Darius Gonzalez</t>
  </si>
  <si>
    <t>EMP0015</t>
  </si>
  <si>
    <t>darius.gonzalez@hackathon.com</t>
  </si>
  <si>
    <t>David Grant</t>
  </si>
  <si>
    <t>EMP0041</t>
  </si>
  <si>
    <t>david.grant@hackathon.com</t>
  </si>
  <si>
    <t>Delilah Green</t>
  </si>
  <si>
    <t>QA</t>
  </si>
  <si>
    <t>IT- QA</t>
  </si>
  <si>
    <t>EMP0067</t>
  </si>
  <si>
    <t>delilah.green@hackathon.com</t>
  </si>
  <si>
    <t>Diego Gupta</t>
  </si>
  <si>
    <t>Information Security Administrator</t>
  </si>
  <si>
    <t>EMP0096</t>
  </si>
  <si>
    <t>diego.gupta@hackathon.com</t>
  </si>
  <si>
    <t>Dominic Hall</t>
  </si>
  <si>
    <t>EMP0018</t>
  </si>
  <si>
    <t>dominic.hall@hackathon.com</t>
  </si>
  <si>
    <t>Eleanor Harris</t>
  </si>
  <si>
    <t>EMP0122</t>
  </si>
  <si>
    <t>eleanor.harris@hackathon.com</t>
  </si>
  <si>
    <t>Elijah Hill</t>
  </si>
  <si>
    <t>EMP0070</t>
  </si>
  <si>
    <t>elijah.hill@hackathon.com</t>
  </si>
  <si>
    <t>Elise Howard</t>
  </si>
  <si>
    <t>Quality Assurance Manager</t>
  </si>
  <si>
    <t>EMP0117</t>
  </si>
  <si>
    <t>elise.howard@hackathon.com</t>
  </si>
  <si>
    <t>Emilio Hughes</t>
  </si>
  <si>
    <t>EMP0013</t>
  </si>
  <si>
    <t>emilio.hughes@hackathon.com</t>
  </si>
  <si>
    <t>Emma Jackson</t>
  </si>
  <si>
    <t>Solution Architect</t>
  </si>
  <si>
    <t>IT-Enterprise Architect</t>
  </si>
  <si>
    <t>EMP0039</t>
  </si>
  <si>
    <t>emma.jackson@hackathon.com</t>
  </si>
  <si>
    <t>Ethan James</t>
  </si>
  <si>
    <t>EMP0065</t>
  </si>
  <si>
    <t>ethan.james@hackathon.com</t>
  </si>
  <si>
    <t>Eva Johnson</t>
  </si>
  <si>
    <t>EMP0091</t>
  </si>
  <si>
    <t>eva.johnson@hackathon.com</t>
  </si>
  <si>
    <t>Evelyn Kapoor</t>
  </si>
  <si>
    <t>Application Developer</t>
  </si>
  <si>
    <t>EMP0092</t>
  </si>
  <si>
    <t>evelyn.kapoor@hackathon.com</t>
  </si>
  <si>
    <t>Ezra Khan</t>
  </si>
  <si>
    <t>EMP0118</t>
  </si>
  <si>
    <t>ezra.khan@hackathon.com</t>
  </si>
  <si>
    <t>Fatima Kim</t>
  </si>
  <si>
    <t>EMP0014</t>
  </si>
  <si>
    <t>fatima.kim@hackathon.com</t>
  </si>
  <si>
    <t>Felix King</t>
  </si>
  <si>
    <t>Reasor's  Store  Systems - 9014</t>
  </si>
  <si>
    <t>EMP0040</t>
  </si>
  <si>
    <t>felix.king@hackathon.com</t>
  </si>
  <si>
    <t>Gabriel Larson</t>
  </si>
  <si>
    <t>EMP0066</t>
  </si>
  <si>
    <t>gabriel.larson@hackathon.com</t>
  </si>
  <si>
    <t>Gabriela Lee</t>
  </si>
  <si>
    <t>EMP0094</t>
  </si>
  <si>
    <t>gabriela.lee@hackathon.com</t>
  </si>
  <si>
    <t>Gavin Lewis</t>
  </si>
  <si>
    <t>EMP0120</t>
  </si>
  <si>
    <t>gavin.lewis@hackathon.com</t>
  </si>
  <si>
    <t>Gianna Lopez</t>
  </si>
  <si>
    <t>EMP0016</t>
  </si>
  <si>
    <t>gianna.lopez@hackathon.com</t>
  </si>
  <si>
    <t>Grace Martin</t>
  </si>
  <si>
    <t>SAP Basis Manager</t>
  </si>
  <si>
    <t>IT-Basis Management</t>
  </si>
  <si>
    <t>EMP0042</t>
  </si>
  <si>
    <t>grace.martin@hackathon.com</t>
  </si>
  <si>
    <t>Hana Martinez</t>
  </si>
  <si>
    <t>EMP0068</t>
  </si>
  <si>
    <t>hana.martinez@hackathon.com</t>
  </si>
  <si>
    <t>Harper Mason</t>
  </si>
  <si>
    <t>EMP0001</t>
  </si>
  <si>
    <t>harper.mason@hackathon.com</t>
  </si>
  <si>
    <t>Henry Mitchell</t>
  </si>
  <si>
    <t>EMP0027</t>
  </si>
  <si>
    <t>henry.mitchell@hackathon.com</t>
  </si>
  <si>
    <t>Hugo Moore</t>
  </si>
  <si>
    <t>EMP0053</t>
  </si>
  <si>
    <t>hugo.moore@hackathon.com</t>
  </si>
  <si>
    <t>Imani Morales</t>
  </si>
  <si>
    <t>EMP0079</t>
  </si>
  <si>
    <t>imani.morales@hackathon.com</t>
  </si>
  <si>
    <t>Iris Tremblay</t>
  </si>
  <si>
    <t>EMP0028</t>
  </si>
  <si>
    <t>iris.tremblay@hackathon.com</t>
  </si>
  <si>
    <t>Isaac Morgan</t>
  </si>
  <si>
    <t>EMP0105</t>
  </si>
  <si>
    <t>isaac.morgan@hackathon.com</t>
  </si>
  <si>
    <t>Isabella Murphy</t>
  </si>
  <si>
    <t>EMP0097</t>
  </si>
  <si>
    <t>isabella.murphy@hackathon.com</t>
  </si>
  <si>
    <t>Jada Nakamura</t>
  </si>
  <si>
    <t>EMP0019</t>
  </si>
  <si>
    <t>jada.nakamura@hackathon.com</t>
  </si>
  <si>
    <t>Jamal Nelson</t>
  </si>
  <si>
    <t>EMP0123</t>
  </si>
  <si>
    <t>jamal.nelson@hackathon.com</t>
  </si>
  <si>
    <t>Jasmine Nguyen</t>
  </si>
  <si>
    <t>EMP0045</t>
  </si>
  <si>
    <t>jasmine.nguyen@hackathon.com</t>
  </si>
  <si>
    <t>Javier Ortiz</t>
  </si>
  <si>
    <t>EMP0071</t>
  </si>
  <si>
    <t>javier.ortiz@hackathon.com</t>
  </si>
  <si>
    <t>Jayden Owens</t>
  </si>
  <si>
    <t>QA Automation</t>
  </si>
  <si>
    <t>EMP0098</t>
  </si>
  <si>
    <t>jayden.owens@hackathon.com</t>
  </si>
  <si>
    <t>Jocelyn Patel</t>
  </si>
  <si>
    <t xml:space="preserve">Senior Manager - Business Systems </t>
  </si>
  <si>
    <t>EMP0020</t>
  </si>
  <si>
    <t>jocelyn.patel@hackathon.com</t>
  </si>
  <si>
    <t>Jonah Perez</t>
  </si>
  <si>
    <t>IT Services Lead Technician</t>
  </si>
  <si>
    <t>EMP0124</t>
  </si>
  <si>
    <t>jonah.perez@hackathon.com</t>
  </si>
  <si>
    <t>Josephine Perry</t>
  </si>
  <si>
    <t>SAP Systems Administrator</t>
  </si>
  <si>
    <t>EMP0046</t>
  </si>
  <si>
    <t>josephine.perry@hackathon.com</t>
  </si>
  <si>
    <t>Julian Peterson</t>
  </si>
  <si>
    <t>EMP0072</t>
  </si>
  <si>
    <t>julian.peterson@hackathon.com</t>
  </si>
  <si>
    <t>Kai Phillips</t>
  </si>
  <si>
    <t>EMP0073</t>
  </si>
  <si>
    <t>kai.phillips@hackathon.com</t>
  </si>
  <si>
    <t>Kaitlyn Price</t>
  </si>
  <si>
    <t>EMP0125</t>
  </si>
  <si>
    <t>kaitlyn.price@hackathon.com</t>
  </si>
  <si>
    <t>Kareem Ramirez</t>
  </si>
  <si>
    <t>EMP0099</t>
  </si>
  <si>
    <t>kareem.ramirez@hackathon.com</t>
  </si>
  <si>
    <t>Keira Ramos</t>
  </si>
  <si>
    <t>EMP0021</t>
  </si>
  <si>
    <t>keira.ramos@hackathon.com</t>
  </si>
  <si>
    <t>Khalil Reed</t>
  </si>
  <si>
    <t>EMP0047</t>
  </si>
  <si>
    <t>khalil.reed@hackathon.com</t>
  </si>
  <si>
    <t>Kiana Usman</t>
  </si>
  <si>
    <t>EMP0054</t>
  </si>
  <si>
    <t>kiana.usman@hackathon.com</t>
  </si>
  <si>
    <t>Laila Reyes</t>
  </si>
  <si>
    <t>EMP0003</t>
  </si>
  <si>
    <t>laila.reyes@hackathon.com</t>
  </si>
  <si>
    <t>Leila Rahman</t>
  </si>
  <si>
    <t>PMO Analyst</t>
  </si>
  <si>
    <t>EMP0102</t>
  </si>
  <si>
    <t>leila.rahman@hackathon.com</t>
  </si>
  <si>
    <t>Lena Richardson</t>
  </si>
  <si>
    <t>EMP0029</t>
  </si>
  <si>
    <t>lena.richardson@hackathon.com</t>
  </si>
  <si>
    <t>Leo Rivera</t>
  </si>
  <si>
    <t>EMP0055</t>
  </si>
  <si>
    <t>leo.rivera@hackathon.com</t>
  </si>
  <si>
    <t>Liam Roberts</t>
  </si>
  <si>
    <t>EMP0081</t>
  </si>
  <si>
    <t>liam.roberts@hackathon.com</t>
  </si>
  <si>
    <t>Lila Robinson</t>
  </si>
  <si>
    <t>EMP0107</t>
  </si>
  <si>
    <t>lila.robinson@hackathon.com</t>
  </si>
  <si>
    <t>Lorenzo Rodriguez</t>
  </si>
  <si>
    <t>EMP0112</t>
  </si>
  <si>
    <t>lorenzo.rodriguez@hackathon.com</t>
  </si>
  <si>
    <t>Lucia Rogers</t>
  </si>
  <si>
    <t>EMP0008</t>
  </si>
  <si>
    <t>lucia.rogers@hackathon.com</t>
  </si>
  <si>
    <t>Luis Ross</t>
  </si>
  <si>
    <t>EMP0034</t>
  </si>
  <si>
    <t>luis.ross@hackathon.com</t>
  </si>
  <si>
    <t>Malik Okafor</t>
  </si>
  <si>
    <t>Data &amp; Integration Architect</t>
  </si>
  <si>
    <t>IT- Data and Integration</t>
  </si>
  <si>
    <t>EMP0050</t>
  </si>
  <si>
    <t>malik.okafor@hackathon.com</t>
  </si>
  <si>
    <t>Marcus Valdez</t>
  </si>
  <si>
    <t>EMP0080</t>
  </si>
  <si>
    <t>marcus.valdez@hackathon.com</t>
  </si>
  <si>
    <t>Mateo Sanchez</t>
  </si>
  <si>
    <t>EMP0086</t>
  </si>
  <si>
    <t>mateo.sanchez@hackathon.com</t>
  </si>
  <si>
    <t>Maya Russell</t>
  </si>
  <si>
    <t>EMP0060</t>
  </si>
  <si>
    <t>maya.russell@hackathon.com</t>
  </si>
  <si>
    <t>Mei Park</t>
  </si>
  <si>
    <t>EMP0076</t>
  </si>
  <si>
    <t>mei.park@hackathon.com</t>
  </si>
  <si>
    <t>Mia Sanders</t>
  </si>
  <si>
    <t>EMP0074</t>
  </si>
  <si>
    <t>mia.sanders@hackathon.com</t>
  </si>
  <si>
    <t>Micah Scott</t>
  </si>
  <si>
    <t>EMP0126</t>
  </si>
  <si>
    <t>micah.scott@hackathon.com</t>
  </si>
  <si>
    <t>Mila Shah</t>
  </si>
  <si>
    <t>EMP0100</t>
  </si>
  <si>
    <t>mila.shah@hackathon.com</t>
  </si>
  <si>
    <t>Nadia Wong</t>
  </si>
  <si>
    <t>Information Security Engineer</t>
  </si>
  <si>
    <t>EMP0106</t>
  </si>
  <si>
    <t>nadia.wong@hackathon.com</t>
  </si>
  <si>
    <t>Naomi Singh</t>
  </si>
  <si>
    <t>EMP0022</t>
  </si>
  <si>
    <t>naomi.singh@hackathon.com</t>
  </si>
  <si>
    <t>Natalia Smith</t>
  </si>
  <si>
    <t>EMP0048</t>
  </si>
  <si>
    <t>natalia.smith@hackathon.com</t>
  </si>
  <si>
    <t>Nathan Stewart</t>
  </si>
  <si>
    <t>EMP0113</t>
  </si>
  <si>
    <t>nathan.stewart@hackathon.com</t>
  </si>
  <si>
    <t>Nia Sullivan</t>
  </si>
  <si>
    <t>EMP0009</t>
  </si>
  <si>
    <t>nia.sullivan@hackathon.com</t>
  </si>
  <si>
    <t>Nicolas Taylor</t>
  </si>
  <si>
    <t>Software Systems Engineer</t>
  </si>
  <si>
    <t>EMP0035</t>
  </si>
  <si>
    <t>nicolas.taylor@hackathon.com</t>
  </si>
  <si>
    <t>Noah Thomas</t>
  </si>
  <si>
    <t>Training and Change Coordinator</t>
  </si>
  <si>
    <t>EMP0061</t>
  </si>
  <si>
    <t>noah.thomas@hackathon.com</t>
  </si>
  <si>
    <t>Nora Thompson</t>
  </si>
  <si>
    <t>EMP0087</t>
  </si>
  <si>
    <t>nora.thompson@hackathon.com</t>
  </si>
  <si>
    <t>Olivia Tran</t>
  </si>
  <si>
    <t>EMP0114</t>
  </si>
  <si>
    <t>olivia.tran@hackathon.com</t>
  </si>
  <si>
    <t>Omar Torres</t>
  </si>
  <si>
    <t>TP00024</t>
  </si>
  <si>
    <t>omar.torres@hackathon.com</t>
  </si>
  <si>
    <t>Oscar Turner</t>
  </si>
  <si>
    <t>Technical Support Manager</t>
  </si>
  <si>
    <t>EMP0010</t>
  </si>
  <si>
    <t>oscar.turner@hackathon.com</t>
  </si>
  <si>
    <t>Priya Vasquez</t>
  </si>
  <si>
    <t xml:space="preserve">Help Desk Analyst </t>
  </si>
  <si>
    <t>EMP0036</t>
  </si>
  <si>
    <t>priya.vasquez@hackathon.com</t>
  </si>
  <si>
    <t>Rafael Walker</t>
  </si>
  <si>
    <t>EMP0062</t>
  </si>
  <si>
    <t>rafael.walker@hackathon.com</t>
  </si>
  <si>
    <t>Raina Ward</t>
  </si>
  <si>
    <t>EMP0088</t>
  </si>
  <si>
    <t>raina.ward@hackathon.com</t>
  </si>
  <si>
    <t>Rohan Quintero</t>
  </si>
  <si>
    <t>EMP0128</t>
  </si>
  <si>
    <t>rohan.quintero@hackathon.com</t>
  </si>
  <si>
    <t>Roman Washington</t>
  </si>
  <si>
    <t>EMP0109</t>
  </si>
  <si>
    <t>roman.washington@hackathon.com</t>
  </si>
  <si>
    <t>Ruby Watson</t>
  </si>
  <si>
    <t>EMP0005</t>
  </si>
  <si>
    <t>ruby.watson@hackathon.com</t>
  </si>
  <si>
    <t>Sabrina White</t>
  </si>
  <si>
    <t>EMP0031</t>
  </si>
  <si>
    <t>sabrina.white@hackathon.com</t>
  </si>
  <si>
    <t>Samir Williams</t>
  </si>
  <si>
    <t>EMP0057</t>
  </si>
  <si>
    <t>samir.williams@hackathon.com</t>
  </si>
  <si>
    <t>Santiago Wilson</t>
  </si>
  <si>
    <t>EMP0083</t>
  </si>
  <si>
    <t>santiago.wilson@hackathon.com</t>
  </si>
  <si>
    <t>Sara Wright</t>
  </si>
  <si>
    <t>EMP0116</t>
  </si>
  <si>
    <t>sara.wright@hackathon.com</t>
  </si>
  <si>
    <t>Sebastian Young</t>
  </si>
  <si>
    <t>EMP0012</t>
  </si>
  <si>
    <t>sebastian.young@hackathon.com</t>
  </si>
  <si>
    <t>Selena Adeyemi</t>
  </si>
  <si>
    <t>EMP0038</t>
  </si>
  <si>
    <t>selena.adeyemi@hackathon.com</t>
  </si>
  <si>
    <t>Sofia Bennett</t>
  </si>
  <si>
    <t>EMP0064</t>
  </si>
  <si>
    <t>sofia.bennett@hackathon.com</t>
  </si>
  <si>
    <t>Sonia Choudhury</t>
  </si>
  <si>
    <t>EMP0090</t>
  </si>
  <si>
    <t>sonia.choudhury@hackathon.com</t>
  </si>
  <si>
    <t>Talia Davenport</t>
  </si>
  <si>
    <t>EMP0049</t>
  </si>
  <si>
    <t>talia.davenport@hackathon.com</t>
  </si>
  <si>
    <t>Theo Ellis</t>
  </si>
  <si>
    <t>EMP0075</t>
  </si>
  <si>
    <t>theo.ellis@hackathon.com</t>
  </si>
  <si>
    <t>Valentina Fernandez</t>
  </si>
  <si>
    <t>EMP0127</t>
  </si>
  <si>
    <t>valentina.fernandez@hackathon.com</t>
  </si>
  <si>
    <t>Victor Fujimoto</t>
  </si>
  <si>
    <t>EMP0101</t>
  </si>
  <si>
    <t>victor.fujimoto@hackathon.com</t>
  </si>
  <si>
    <t>Vivian Haddad</t>
  </si>
  <si>
    <t>EMP0023</t>
  </si>
  <si>
    <t>vivian.haddad@hackathon.com</t>
  </si>
  <si>
    <t>Xavier Ibrahim</t>
  </si>
  <si>
    <t>EMP0115</t>
  </si>
  <si>
    <t>xavier.ibrahim@hackathon.com</t>
  </si>
  <si>
    <t>Yara Jensen</t>
  </si>
  <si>
    <t>EMP0011</t>
  </si>
  <si>
    <t>yara.jensen@hackathon.com</t>
  </si>
  <si>
    <t>Yasmin Kaur</t>
  </si>
  <si>
    <t>EMP0037</t>
  </si>
  <si>
    <t>yasmin.kaur@hackathon.com</t>
  </si>
  <si>
    <t>Zachary Liu</t>
  </si>
  <si>
    <t>EMP0063</t>
  </si>
  <si>
    <t>zachary.liu@hackathon.com</t>
  </si>
  <si>
    <t>Zara Mensah</t>
  </si>
  <si>
    <t>EMP0089</t>
  </si>
  <si>
    <t>zara.mensah@hackathon.com</t>
  </si>
  <si>
    <t>Zoe Novak</t>
  </si>
  <si>
    <t>EMP0024</t>
  </si>
  <si>
    <t>zoe.novak@hackathon.com</t>
  </si>
  <si>
    <t>Grand Total</t>
  </si>
  <si>
    <t>Full name</t>
  </si>
  <si>
    <t>Project Name</t>
  </si>
  <si>
    <t>Project Number</t>
  </si>
  <si>
    <t>Notes</t>
  </si>
  <si>
    <t>Store WiFi Refresh</t>
  </si>
  <si>
    <t>11</t>
  </si>
  <si>
    <t>Wireless upgrade planning and execution</t>
  </si>
  <si>
    <t>Inventory Accuracy Pilot</t>
  </si>
  <si>
    <t>13</t>
  </si>
  <si>
    <t>Inventory reconciliation pilot</t>
  </si>
  <si>
    <t>Data Warehouse Cleanup</t>
  </si>
  <si>
    <t>15</t>
  </si>
  <si>
    <t>Data quality remediation</t>
  </si>
  <si>
    <t>Network Monitoring Rollout</t>
  </si>
  <si>
    <t>16</t>
  </si>
  <si>
    <t>Monitoring standards and alerting</t>
  </si>
  <si>
    <t>Helpdesk Knowledge Base</t>
  </si>
  <si>
    <t>17</t>
  </si>
  <si>
    <t>Support article cleanup and publication</t>
  </si>
  <si>
    <t>Vendor Invoice Dashboard</t>
  </si>
  <si>
    <t>18</t>
  </si>
  <si>
    <t>Invoice and PO visibility reporting</t>
  </si>
  <si>
    <t>Employee Access Review</t>
  </si>
  <si>
    <t>19</t>
  </si>
  <si>
    <t>Quarterly access validation process</t>
  </si>
  <si>
    <t>Warehouse Scanner Replacement</t>
  </si>
  <si>
    <t>20</t>
  </si>
  <si>
    <t>Mobile scanner planning and deployment</t>
  </si>
  <si>
    <t>Loyalty Reporting MVP</t>
  </si>
  <si>
    <t>21</t>
  </si>
  <si>
    <t>Loyalty dashboard MVP</t>
  </si>
  <si>
    <t>Recipe Content Migration</t>
  </si>
  <si>
    <t>22</t>
  </si>
  <si>
    <t>Content migration readiness</t>
  </si>
  <si>
    <t>Bakery Scale Integration</t>
  </si>
  <si>
    <t>23</t>
  </si>
  <si>
    <t>Scale interface testing</t>
  </si>
  <si>
    <t>Fuel System Compliance</t>
  </si>
  <si>
    <t>24</t>
  </si>
  <si>
    <t>Compliance tracking updates</t>
  </si>
  <si>
    <t>Pharmacy Queue Pilot</t>
  </si>
  <si>
    <t>25</t>
  </si>
  <si>
    <t>Queue workflow pilot</t>
  </si>
  <si>
    <t>Pricing File Automation</t>
  </si>
  <si>
    <t>26</t>
  </si>
  <si>
    <t>Pricing file automation proof of concept</t>
  </si>
  <si>
    <t>Mobile Device Enrollment</t>
  </si>
  <si>
    <t>27</t>
  </si>
  <si>
    <t>Device enrollment process update</t>
  </si>
  <si>
    <t>Disaster Recovery Exercise</t>
  </si>
  <si>
    <t>28</t>
  </si>
  <si>
    <t>Tabletop and validation exercise</t>
  </si>
  <si>
    <t>Time Tracking Dashboard</t>
  </si>
  <si>
    <t>29</t>
  </si>
  <si>
    <t>Hackathon dashboard seed project</t>
  </si>
  <si>
    <t>Service Desk Triage AI</t>
  </si>
  <si>
    <t>30</t>
  </si>
  <si>
    <t>AI-assisted ticket triage demo</t>
  </si>
  <si>
    <t>Delivery Route Optimization</t>
  </si>
  <si>
    <t>31</t>
  </si>
  <si>
    <t>Route analysis prototype</t>
  </si>
  <si>
    <t>Fresh Department Forecasting</t>
  </si>
  <si>
    <t>32</t>
  </si>
  <si>
    <t>Forecasting model prototype</t>
  </si>
  <si>
    <t>Store Opening Checklist</t>
  </si>
  <si>
    <t>33</t>
  </si>
  <si>
    <t>Standardized checklist workflow</t>
  </si>
  <si>
    <t>Asset Lifecycle Register</t>
  </si>
  <si>
    <t>34</t>
  </si>
  <si>
    <t>Asset inventory governance</t>
  </si>
  <si>
    <t>Project Categories</t>
  </si>
  <si>
    <t>Project Task Code</t>
  </si>
  <si>
    <t>Description</t>
  </si>
  <si>
    <t>Discovery &amp; Planning</t>
  </si>
  <si>
    <t>High-level requirements, technology evaluation, high-level planning, scoping, resource planning, and related meetings.</t>
  </si>
  <si>
    <t>Business Requirements</t>
  </si>
  <si>
    <t>Current-state assessment, high-level and business requirements, requirements documentation, and related meetings.</t>
  </si>
  <si>
    <t>Design Solution</t>
  </si>
  <si>
    <t>Business process design, functional and technical requirements, technical design, and related meetings.</t>
  </si>
  <si>
    <t>Develop &amp; Configure</t>
  </si>
  <si>
    <t>Installation of hardware/software, configuration and development, online help, deployment/implementation planning, and related meetings.</t>
  </si>
  <si>
    <t>Testing</t>
  </si>
  <si>
    <t>Test planning, test case development and execution, integration, end-to-end, and user acceptance testing, defect management, and related meetings.</t>
  </si>
  <si>
    <t>Data Conversion - Develop</t>
  </si>
  <si>
    <t>Development of programs to execute data conversion, and related meetings.</t>
  </si>
  <si>
    <t>Data Conversion - Manual</t>
  </si>
  <si>
    <t>Manual data cleanup, data entry, and conversion activities, and related meetings</t>
  </si>
  <si>
    <t>Deploy &amp; Install</t>
  </si>
  <si>
    <t>Installation and deployment to pilot and/or full production, and related meetings.</t>
  </si>
  <si>
    <t>Training</t>
  </si>
  <si>
    <t>Development and delivery of project training materials, travel to training, and related meetings.</t>
  </si>
  <si>
    <t>Project Support</t>
  </si>
  <si>
    <t>Post-go-live support to transition to support teams; stability/acceptance observation; incident response, and related meetings.</t>
  </si>
  <si>
    <t>Manager Oversight</t>
  </si>
  <si>
    <t>Project management activities: team management, coaching, financial management, budgeting, invoice/vendor management, spend tracking, and related meetings.</t>
  </si>
  <si>
    <t>Non - Project Categories</t>
  </si>
  <si>
    <t>Group</t>
  </si>
  <si>
    <t>Work Code</t>
  </si>
  <si>
    <t>Support the Company</t>
  </si>
  <si>
    <t>Administrative</t>
  </si>
  <si>
    <t>General administrative work not tied to a project or a production support incident.</t>
  </si>
  <si>
    <t>Production Support</t>
  </si>
  <si>
    <t>Unplanned support of production systems: incident response, break-fix, troubleshooting, issue resolution.</t>
  </si>
  <si>
    <t>Support - Meetings</t>
  </si>
  <si>
    <t>Meetings on production support, operational reviews, or team coordination not tied to a project.</t>
  </si>
  <si>
    <t>Time on Change</t>
  </si>
  <si>
    <t>Change - Meetings</t>
  </si>
  <si>
    <t>Meetings on organizational change, process improvement, or technology change planning not tied to a project.</t>
  </si>
  <si>
    <t>Business Enhancements</t>
  </si>
  <si>
    <t>Minor enhancements or configuration changes below the threshold for a formal project (see Section 2.9).</t>
  </si>
  <si>
    <t>Building the Culture</t>
  </si>
  <si>
    <t>Culture - Meetings</t>
  </si>
  <si>
    <t>Team culture events, all-hands, recognition, and related gatherings.</t>
  </si>
  <si>
    <t>Out of Office</t>
  </si>
  <si>
    <t>Vacation, personal/sick leave, observed holidays, and any time the partner is unavailable for work.</t>
  </si>
  <si>
    <t>Professional Development</t>
  </si>
  <si>
    <t>Training courses, certifications, conferences, and self-directed learning.</t>
  </si>
  <si>
    <t>Volunteering</t>
  </si>
  <si>
    <t>Company- or IT-sponsored volunteer activities.</t>
  </si>
  <si>
    <t>CapEx / OpEx Classification</t>
  </si>
  <si>
    <t>Classification</t>
  </si>
  <si>
    <t>Operating (OpEx)</t>
  </si>
  <si>
    <t>All hours, including Manager Oversight under this phase.</t>
  </si>
  <si>
    <t>Capital (CapEx)</t>
  </si>
  <si>
    <t>Technical design and functional requirements work is capitalizable.</t>
  </si>
  <si>
    <t>All development and configuration hours are capitalizable.</t>
  </si>
  <si>
    <t>Test execution, UAT, and integration testing are capitalizable.</t>
  </si>
  <si>
    <t>Development of conversion programs is capitalizable.</t>
  </si>
  <si>
    <t>Manual cleanup and entry is an operating expense.</t>
  </si>
  <si>
    <t>Software installation is Capital; training delivery under this phase is Operating.</t>
  </si>
  <si>
    <t>Training material development and delivery are operating expenses.</t>
  </si>
  <si>
    <t>Post-go-live warranty/support is an operating expense.</t>
  </si>
  <si>
    <t>Operating (default)</t>
  </si>
  <si>
    <t>Capital only via the hands-on exception at entry (TS-011).</t>
  </si>
  <si>
    <t>All Non-project category time is classified as operating expense (OpEx).</t>
  </si>
  <si>
    <t>Fiscal weeks run from Wednesday through Tuesday. 
The fiscal year consists of 52 weeks, divided into 4 quarters, with 3 periods in each quarter.</t>
  </si>
  <si>
    <t>Fiscal 2026 Calendar</t>
  </si>
  <si>
    <t>Fiscal 2027 Calendar</t>
  </si>
  <si>
    <t>Quarter</t>
  </si>
  <si>
    <t>Period</t>
  </si>
  <si>
    <t>Start Date</t>
  </si>
  <si>
    <t>End Date</t>
  </si>
  <si>
    <t># Wks</t>
  </si>
  <si>
    <t>Qtr Wks</t>
  </si>
  <si>
    <t>YTD Wks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</si>
</sst>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 yyyy"/>
  </numFmts>
  <fonts count="19" x14ac:knownFonts="1">
    <font>
      <sz val="11"/>
      <color theme="1"/>
      <name val="Aptos Narrow"/>
      <family val="2"/>
      <scheme val="minor"/>
    </font>
    <font>
      <sz val="8"/>
      <name val="Aptos Narrow"/>
      <family val="2"/>
      <scheme val="minor"/>
    </font>
    <font>
      <i/>
      <sz val="11"/>
      <color rgb="FF5B6573"/>
      <name val="Aptos"/>
    </font>
    <font>
      <sz val="11"/>
      <color theme="1"/>
      <name val="Aptos"/>
    </font>
    <font>
      <b/>
      <sz val="11"/>
      <color rgb="FFFFFFFF"/>
      <name val="Aptos"/>
    </font>
    <font>
      <b/>
      <sz val="22"/>
      <color rgb="FF17324D"/>
      <name val="Aptos"/>
    </font>
    <font>
      <b/>
      <sz val="11"/>
      <color rgb="FF5B6573"/>
      <name val="Aptos"/>
    </font>
    <font>
      <sz val="11"/>
      <color rgb="FF1F2933"/>
      <name val="Aptos"/>
    </font>
    <font>
      <sz val="11"/>
      <color theme="3"/>
      <name val="Aptos"/>
    </font>
    <font>
      <b/>
      <sz val="14"/>
      <color theme="1"/>
      <name val="Aptos"/>
    </font>
    <font>
      <sz val="11"/>
      <color rgb="FF222222"/>
      <name val="Aptos"/>
    </font>
    <font>
      <b/>
      <sz val="11"/>
      <color rgb="FF1F2933"/>
      <name val="Aptos"/>
    </font>
    <font>
      <b/>
      <i/>
      <sz val="14"/>
      <color rgb="FF1F2933"/>
      <name val="Aptos"/>
      <family val="2"/>
    </font>
    <font>
      <i/>
      <sz val="11"/>
      <color rgb="FF5B6573"/>
      <name val="Aptos"/>
      <family val="2"/>
    </font>
    <font>
      <b/>
      <sz val="11"/>
      <color theme="3"/>
      <name val="Aptos"/>
      <family val="2"/>
    </font>
    <font>
      <b/>
      <sz val="16"/>
      <color theme="3"/>
      <name val="Aptos"/>
      <family val="2"/>
    </font>
    <font>
      <b/>
      <sz val="14"/>
      <color theme="3"/>
      <name val="Aptos"/>
      <family val="2"/>
    </font>
    <font>
      <b/>
      <sz val="19"/>
      <color theme="3"/>
      <name val="Aptos"/>
      <family val="2"/>
    </font>
    <font>
      <sz val="11"/>
      <color theme="3"/>
      <name val="Aptos"/>
      <family val="2"/>
    </font>
  </fonts>
  <fills count="6">
    <fill>
      <patternFill patternType="none"/>
    </fill>
    <fill>
      <patternFill patternType="gray125"/>
    </fill>
    <fill>
      <patternFill patternType="solid">
        <fgColor theme="5" tint="0.79998168889431442"/>
        <bgColor indexed="64"/>
      </patternFill>
    </fill>
    <fill>
      <patternFill patternType="solid">
        <fgColor theme="3" tint="0.89999084444715716"/>
        <bgColor indexed="64"/>
      </patternFill>
    </fill>
    <fill>
      <patternFill patternType="solid">
        <fgColor rgb="FF5B9BD5"/>
        <bgColor indexed="64"/>
      </patternFill>
    </fill>
    <fill>
      <patternFill patternType="solid">
        <fgColor rgb="FFEDF4FA"/>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rgb="FFCBD5E1"/>
      </top>
      <bottom/>
      <diagonal/>
    </border>
    <border>
      <left/>
      <right/>
      <top style="thin">
        <color rgb="FFCBD5E1"/>
      </top>
      <bottom style="thin">
        <color rgb="FFCBD5E1"/>
      </bottom>
      <diagonal/>
    </border>
    <border>
      <left style="thin">
        <color rgb="FFCBD5E1"/>
      </left>
      <right/>
      <top style="thin">
        <color rgb="FFCBD5E1"/>
      </top>
      <bottom style="thin">
        <color rgb="FFCBD5E1"/>
      </bottom>
      <diagonal/>
    </border>
    <border>
      <left style="thin">
        <color rgb="FFCBD5E1"/>
      </left>
      <right/>
      <top style="thin">
        <color rgb="FFCBD5E1"/>
      </top>
      <bottom/>
      <diagonal/>
    </border>
    <border>
      <left/>
      <right style="thin">
        <color rgb="FFCBD5E1"/>
      </right>
      <top style="thin">
        <color rgb="FFCBD5E1"/>
      </top>
      <bottom style="thin">
        <color rgb="FFCBD5E1"/>
      </bottom>
      <diagonal/>
    </border>
    <border>
      <left/>
      <right style="thin">
        <color rgb="FFCBD5E1"/>
      </right>
      <top style="thin">
        <color rgb="FFCBD5E1"/>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17600024414813E-2"/>
      </left>
      <right style="thin">
        <color theme="2" tint="-9.9948118533890809E-2"/>
      </right>
      <top style="thin">
        <color theme="2" tint="-9.9917600024414813E-2"/>
      </top>
      <bottom style="thin">
        <color theme="2" tint="-9.9948118533890809E-2"/>
      </bottom>
      <diagonal/>
    </border>
    <border>
      <left style="thin">
        <color theme="2" tint="-9.9948118533890809E-2"/>
      </left>
      <right style="thin">
        <color theme="2" tint="-9.9948118533890809E-2"/>
      </right>
      <top style="thin">
        <color theme="2" tint="-9.9917600024414813E-2"/>
      </top>
      <bottom style="thin">
        <color theme="2" tint="-9.9948118533890809E-2"/>
      </bottom>
      <diagonal/>
    </border>
    <border>
      <left style="thin">
        <color theme="2" tint="-9.9948118533890809E-2"/>
      </left>
      <right style="thin">
        <color theme="2" tint="-9.9917600024414813E-2"/>
      </right>
      <top style="thin">
        <color theme="2" tint="-9.9917600024414813E-2"/>
      </top>
      <bottom style="thin">
        <color theme="2" tint="-9.9948118533890809E-2"/>
      </bottom>
      <diagonal/>
    </border>
    <border>
      <left style="thin">
        <color theme="2" tint="-9.9917600024414813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17600024414813E-2"/>
      </right>
      <top style="thin">
        <color theme="2" tint="-9.9948118533890809E-2"/>
      </top>
      <bottom style="thin">
        <color theme="2" tint="-9.9948118533890809E-2"/>
      </bottom>
      <diagonal/>
    </border>
    <border>
      <left style="thin">
        <color theme="2" tint="-9.9917600024414813E-2"/>
      </left>
      <right style="thin">
        <color theme="2" tint="-9.9948118533890809E-2"/>
      </right>
      <top style="thin">
        <color theme="2" tint="-9.9948118533890809E-2"/>
      </top>
      <bottom style="thin">
        <color theme="2" tint="-9.9917600024414813E-2"/>
      </bottom>
      <diagonal/>
    </border>
    <border>
      <left style="thin">
        <color theme="2" tint="-9.9948118533890809E-2"/>
      </left>
      <right style="thin">
        <color theme="2" tint="-9.9948118533890809E-2"/>
      </right>
      <top style="thin">
        <color theme="2" tint="-9.9948118533890809E-2"/>
      </top>
      <bottom style="thin">
        <color theme="2" tint="-9.9917600024414813E-2"/>
      </bottom>
      <diagonal/>
    </border>
    <border>
      <left style="thin">
        <color theme="2" tint="-9.9948118533890809E-2"/>
      </left>
      <right style="thin">
        <color theme="2" tint="-9.9917600024414813E-2"/>
      </right>
      <top style="thin">
        <color theme="2" tint="-9.9948118533890809E-2"/>
      </top>
      <bottom style="thin">
        <color theme="2" tint="-9.9917600024414813E-2"/>
      </bottom>
      <diagonal/>
    </border>
  </borders>
  <cellStyleXfs count="1">
    <xf numFmtId="0" fontId="0" fillId="0" borderId="0"/>
  </cellStyleXfs>
  <cellXfs count="67">
    <xf numFmtId="0" fontId="0" fillId="0" borderId="0" xfId="0"/>
    <xf numFmtId="0" fontId="0" fillId="0" borderId="0" xfId="0" applyAlignment="1">
      <alignment wrapText="1"/>
    </xf>
    <xf numFmtId="0" fontId="0" fillId="0" borderId="0" xfId="0" pivotButton="1"/>
    <xf numFmtId="0" fontId="3" fillId="0" borderId="0" xfId="0" applyFont="1"/>
    <xf numFmtId="3" fontId="3" fillId="0" borderId="0" xfId="0" applyNumberFormat="1" applyFont="1"/>
    <xf numFmtId="0" fontId="3" fillId="0" borderId="2" xfId="0" applyFont="1" applyBorder="1"/>
    <xf numFmtId="0" fontId="3" fillId="0" borderId="1" xfId="0" applyFont="1" applyBorder="1"/>
    <xf numFmtId="0" fontId="3" fillId="0" borderId="3" xfId="0" applyFont="1" applyBorder="1"/>
    <xf numFmtId="0" fontId="3" fillId="0" borderId="2" xfId="0" applyFont="1" applyBorder="1" applyAlignment="1">
      <alignment vertical="top"/>
    </xf>
    <xf numFmtId="0" fontId="3" fillId="0" borderId="1" xfId="0" applyFont="1" applyBorder="1" applyAlignment="1">
      <alignment vertical="top"/>
    </xf>
    <xf numFmtId="0" fontId="3" fillId="0" borderId="6" xfId="0" applyFont="1" applyBorder="1"/>
    <xf numFmtId="0" fontId="3" fillId="0" borderId="9" xfId="0" applyFont="1" applyBorder="1"/>
    <xf numFmtId="0" fontId="3" fillId="0" borderId="7" xfId="0" applyFont="1" applyBorder="1"/>
    <xf numFmtId="0" fontId="3" fillId="0" borderId="0" xfId="0" applyFont="1" applyAlignment="1">
      <alignment wrapText="1"/>
    </xf>
    <xf numFmtId="0" fontId="8" fillId="3" borderId="4" xfId="0" applyFont="1" applyFill="1" applyBorder="1"/>
    <xf numFmtId="0" fontId="8" fillId="3" borderId="5" xfId="0" applyFont="1" applyFill="1" applyBorder="1" applyAlignment="1">
      <alignment wrapText="1"/>
    </xf>
    <xf numFmtId="0" fontId="10" fillId="0" borderId="3" xfId="0" applyFont="1" applyBorder="1" applyAlignment="1">
      <alignment wrapText="1"/>
    </xf>
    <xf numFmtId="0" fontId="3" fillId="0" borderId="3" xfId="0" applyFont="1" applyBorder="1" applyAlignment="1">
      <alignment wrapText="1"/>
    </xf>
    <xf numFmtId="0" fontId="3" fillId="0" borderId="7" xfId="0" applyFont="1" applyBorder="1" applyAlignment="1">
      <alignment wrapText="1"/>
    </xf>
    <xf numFmtId="0" fontId="8" fillId="3" borderId="8" xfId="0" applyFont="1" applyFill="1" applyBorder="1"/>
    <xf numFmtId="0" fontId="3" fillId="0" borderId="1" xfId="0" applyFont="1" applyBorder="1" applyAlignment="1">
      <alignment horizontal="center"/>
    </xf>
    <xf numFmtId="164" fontId="3" fillId="0" borderId="1" xfId="0" applyNumberFormat="1" applyFont="1" applyBorder="1" applyAlignment="1">
      <alignment horizontal="center"/>
    </xf>
    <xf numFmtId="0" fontId="3" fillId="0" borderId="0" xfId="0" applyFont="1" applyAlignment="1">
      <alignment horizontal="center"/>
    </xf>
    <xf numFmtId="0" fontId="11" fillId="0" borderId="0" xfId="0" applyFont="1" applyAlignment="1">
      <alignment horizontal="center"/>
    </xf>
    <xf numFmtId="0" fontId="3" fillId="0" borderId="2" xfId="0" applyFont="1" applyBorder="1" applyAlignment="1">
      <alignment vertical="top" wrapText="1"/>
    </xf>
    <xf numFmtId="49" fontId="3" fillId="0" borderId="1" xfId="0" applyNumberFormat="1" applyFont="1" applyBorder="1" applyAlignment="1">
      <alignment vertical="top" wrapText="1"/>
    </xf>
    <xf numFmtId="0" fontId="3" fillId="0" borderId="1" xfId="0" applyFont="1" applyBorder="1" applyAlignment="1">
      <alignment vertical="top" wrapText="1"/>
    </xf>
    <xf numFmtId="0" fontId="3" fillId="0" borderId="6" xfId="0" applyFont="1" applyBorder="1" applyAlignment="1">
      <alignment vertical="top" wrapText="1"/>
    </xf>
    <xf numFmtId="49" fontId="3" fillId="0" borderId="9" xfId="0" applyNumberFormat="1" applyFont="1" applyBorder="1" applyAlignment="1">
      <alignment vertical="top" wrapText="1"/>
    </xf>
    <xf numFmtId="0" fontId="3" fillId="0" borderId="9" xfId="0" applyFont="1" applyBorder="1" applyAlignment="1">
      <alignment vertical="top" wrapText="1"/>
    </xf>
    <xf numFmtId="0" fontId="14" fillId="0" borderId="0" xfId="0" applyFont="1" applyAlignment="1">
      <alignment horizontal="center"/>
    </xf>
    <xf numFmtId="0" fontId="14" fillId="3" borderId="4" xfId="0" applyFont="1" applyFill="1" applyBorder="1"/>
    <xf numFmtId="0" fontId="14" fillId="3" borderId="8" xfId="0" applyFont="1" applyFill="1" applyBorder="1"/>
    <xf numFmtId="0" fontId="14" fillId="3" borderId="5" xfId="0" applyFont="1" applyFill="1" applyBorder="1"/>
    <xf numFmtId="0" fontId="14" fillId="3" borderId="4" xfId="0" applyFont="1" applyFill="1" applyBorder="1" applyAlignment="1">
      <alignment vertical="top" wrapText="1"/>
    </xf>
    <xf numFmtId="0" fontId="14" fillId="3" borderId="8" xfId="0" applyFont="1" applyFill="1" applyBorder="1" applyAlignment="1">
      <alignment vertical="top" wrapText="1"/>
    </xf>
    <xf numFmtId="0" fontId="11" fillId="3" borderId="1" xfId="0" applyFont="1" applyFill="1" applyBorder="1" applyAlignment="1">
      <alignment horizontal="center"/>
    </xf>
    <xf numFmtId="0" fontId="17" fillId="2" borderId="0" xfId="0" applyFont="1" applyFill="1"/>
    <xf numFmtId="0" fontId="13" fillId="0" borderId="0" xfId="0" applyFont="1"/>
    <xf numFmtId="0" fontId="2" fillId="0" borderId="0" xfId="0" applyFont="1"/>
    <xf numFmtId="0" fontId="4" fillId="4" borderId="0" xfId="0" applyFont="1" applyFill="1"/>
    <xf numFmtId="3" fontId="5" fillId="5" borderId="14" xfId="0" applyNumberFormat="1" applyFont="1" applyFill="1" applyBorder="1" applyAlignment="1">
      <alignment horizontal="center"/>
    </xf>
    <xf numFmtId="3" fontId="5" fillId="5" borderId="11" xfId="0" applyNumberFormat="1" applyFont="1" applyFill="1" applyBorder="1" applyAlignment="1">
      <alignment horizontal="center"/>
    </xf>
    <xf numFmtId="3" fontId="6" fillId="5" borderId="13" xfId="0" applyNumberFormat="1" applyFont="1" applyFill="1" applyBorder="1" applyAlignment="1">
      <alignment horizontal="center"/>
    </xf>
    <xf numFmtId="3" fontId="6" fillId="5" borderId="12" xfId="0" applyNumberFormat="1" applyFont="1" applyFill="1" applyBorder="1" applyAlignment="1">
      <alignment horizontal="center"/>
    </xf>
    <xf numFmtId="3" fontId="5" fillId="5" borderId="16" xfId="0" applyNumberFormat="1" applyFont="1" applyFill="1" applyBorder="1" applyAlignment="1">
      <alignment horizontal="center"/>
    </xf>
    <xf numFmtId="3" fontId="6" fillId="5" borderId="15" xfId="0" applyNumberFormat="1" applyFont="1" applyFill="1" applyBorder="1" applyAlignment="1">
      <alignment horizontal="center"/>
    </xf>
    <xf numFmtId="0" fontId="14" fillId="3" borderId="18" xfId="0" applyFont="1" applyFill="1" applyBorder="1"/>
    <xf numFmtId="0" fontId="14" fillId="3" borderId="19" xfId="0" applyFont="1" applyFill="1" applyBorder="1"/>
    <xf numFmtId="0" fontId="14" fillId="3" borderId="20" xfId="0" applyFont="1" applyFill="1" applyBorder="1"/>
    <xf numFmtId="0" fontId="14" fillId="0" borderId="21" xfId="0" applyFont="1" applyBorder="1"/>
    <xf numFmtId="0" fontId="18" fillId="0" borderId="17" xfId="0" applyFont="1" applyBorder="1"/>
    <xf numFmtId="0" fontId="3" fillId="0" borderId="17" xfId="0" applyFont="1" applyBorder="1"/>
    <xf numFmtId="0" fontId="3" fillId="0" borderId="22" xfId="0" applyFont="1" applyBorder="1"/>
    <xf numFmtId="0" fontId="7" fillId="5" borderId="0" xfId="0" applyFont="1" applyFill="1" applyAlignment="1">
      <alignment vertical="top" wrapText="1"/>
    </xf>
    <xf numFmtId="0" fontId="14" fillId="0" borderId="23" xfId="0" applyFont="1" applyBorder="1"/>
    <xf numFmtId="0" fontId="14" fillId="0" borderId="24" xfId="0" applyFont="1" applyBorder="1"/>
    <xf numFmtId="0" fontId="3" fillId="0" borderId="24" xfId="0" applyFont="1" applyBorder="1"/>
    <xf numFmtId="0" fontId="3" fillId="0" borderId="25" xfId="0" applyFont="1" applyBorder="1"/>
    <xf numFmtId="0" fontId="15" fillId="2" borderId="0" xfId="0" applyFont="1" applyFill="1" applyAlignment="1">
      <alignment horizontal="center"/>
    </xf>
    <xf numFmtId="0" fontId="9" fillId="3" borderId="1" xfId="0" applyFont="1" applyFill="1" applyBorder="1" applyAlignment="1">
      <alignment horizontal="center" vertical="center" textRotation="90"/>
    </xf>
    <xf numFmtId="0" fontId="15" fillId="2" borderId="3" xfId="0" applyFont="1" applyFill="1" applyBorder="1" applyAlignment="1">
      <alignment horizontal="center"/>
    </xf>
    <xf numFmtId="0" fontId="15" fillId="2" borderId="10" xfId="0" applyFont="1" applyFill="1" applyBorder="1" applyAlignment="1">
      <alignment horizontal="center"/>
    </xf>
    <xf numFmtId="0" fontId="15" fillId="2" borderId="2" xfId="0" applyFont="1" applyFill="1" applyBorder="1" applyAlignment="1">
      <alignment horizontal="center"/>
    </xf>
    <xf numFmtId="0" fontId="12" fillId="2" borderId="0" xfId="0" applyFont="1" applyFill="1" applyAlignment="1">
      <alignment horizontal="center" wrapText="1"/>
    </xf>
    <xf numFmtId="0" fontId="16" fillId="2" borderId="0" xfId="0" applyFont="1" applyFill="1" applyAlignment="1">
      <alignment horizontal="center" vertical="center" wrapText="1"/>
    </xf>
    <xf numFmtId="0" fontId="14" fillId="0" borderId="0" xfId="0" applyFont="1" applyAlignment="1">
      <alignment horizontal="center"/>
    </xf>
  </cellXfs>
  <cellStyles count="1">
    <cellStyle name="Normal" xfId="0" builtinId="0"/>
  </cellStyles>
  <dxfs count="45">
    <dxf>
      <font>
        <name val="Aptos"/>
      </font>
      <alignment wrapText="1"/>
      <border diagonalUp="0" diagonalDown="0">
        <left style="thin">
          <color indexed="64"/>
        </left>
        <right/>
        <top style="thin">
          <color indexed="64"/>
        </top>
        <bottom style="thin">
          <color indexed="64"/>
        </bottom>
        <vertical style="thin">
          <color indexed="64"/>
        </vertical>
        <horizontal style="thin">
          <color indexed="64"/>
        </horizontal>
      </border>
    </dxf>
    <dxf>
      <font>
        <name val="Aptos"/>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ptos"/>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name val="Aptos"/>
      </font>
    </dxf>
    <dxf>
      <border>
        <bottom style="thin">
          <color indexed="64"/>
        </bottom>
      </border>
    </dxf>
    <dxf>
      <font>
        <strike val="0"/>
        <outline val="0"/>
        <shadow val="0"/>
        <u val="none"/>
        <vertAlign val="baseline"/>
        <sz val="11"/>
        <color theme="3"/>
        <name val="Aptos"/>
        <scheme val="minor"/>
      </font>
      <fill>
        <patternFill patternType="solid">
          <fgColor indexed="64"/>
          <bgColor theme="3" tint="0.89999084444715716"/>
        </patternFill>
      </fill>
      <border diagonalUp="0" diagonalDown="0">
        <left style="thin">
          <color indexed="64"/>
        </left>
        <right style="thin">
          <color indexed="64"/>
        </right>
        <top/>
        <bottom/>
      </border>
    </dxf>
    <dxf>
      <font>
        <name val="Aptos"/>
      </font>
      <alignment wrapText="1"/>
      <border diagonalUp="0" diagonalDown="0">
        <left style="thin">
          <color indexed="64"/>
        </left>
        <right/>
        <top style="thin">
          <color indexed="64"/>
        </top>
        <bottom style="thin">
          <color indexed="64"/>
        </bottom>
        <vertical style="thin">
          <color indexed="64"/>
        </vertical>
        <horizontal style="thin">
          <color indexed="64"/>
        </horizontal>
      </border>
    </dxf>
    <dxf>
      <font>
        <name val="Aptos"/>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ptos"/>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name val="Aptos"/>
      </font>
    </dxf>
    <dxf>
      <border>
        <bottom style="thin">
          <color indexed="64"/>
        </bottom>
      </border>
    </dxf>
    <dxf>
      <font>
        <strike val="0"/>
        <outline val="0"/>
        <shadow val="0"/>
        <u val="none"/>
        <vertAlign val="baseline"/>
        <sz val="11"/>
        <color theme="3"/>
        <name val="Aptos"/>
        <scheme val="minor"/>
      </font>
      <fill>
        <patternFill patternType="solid">
          <fgColor indexed="64"/>
          <bgColor theme="3" tint="0.89999084444715716"/>
        </patternFill>
      </fill>
      <border diagonalUp="0" diagonalDown="0">
        <left style="thin">
          <color indexed="64"/>
        </left>
        <right style="thin">
          <color indexed="64"/>
        </right>
        <top/>
        <bottom/>
      </border>
    </dxf>
    <dxf>
      <font>
        <name val="Aptos"/>
      </font>
      <alignment wrapText="1"/>
      <border diagonalUp="0" diagonalDown="0">
        <left style="thin">
          <color indexed="64"/>
        </left>
        <right/>
        <top style="thin">
          <color indexed="64"/>
        </top>
        <bottom style="thin">
          <color indexed="64"/>
        </bottom>
        <vertical style="thin">
          <color indexed="64"/>
        </vertical>
        <horizontal style="thin">
          <color indexed="64"/>
        </horizontal>
      </border>
    </dxf>
    <dxf>
      <font>
        <name val="Aptos"/>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name val="Aptos"/>
      </font>
    </dxf>
    <dxf>
      <border>
        <bottom style="thin">
          <color indexed="64"/>
        </bottom>
      </border>
    </dxf>
    <dxf>
      <font>
        <strike val="0"/>
        <outline val="0"/>
        <shadow val="0"/>
        <u val="none"/>
        <vertAlign val="baseline"/>
        <sz val="11"/>
        <color theme="3"/>
        <name val="Aptos"/>
        <scheme val="minor"/>
      </font>
      <fill>
        <patternFill patternType="solid">
          <fgColor indexed="64"/>
          <bgColor theme="3" tint="0.89999084444715716"/>
        </patternFill>
      </fill>
      <border diagonalUp="0" diagonalDown="0">
        <left style="thin">
          <color indexed="64"/>
        </left>
        <right style="thin">
          <color indexed="64"/>
        </right>
        <top/>
        <bottom/>
      </border>
    </dxf>
    <dxf>
      <font>
        <name val="Aptos"/>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name val="Aptos"/>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name val="Aptos"/>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name val="Aptos"/>
      </font>
      <numFmt numFmtId="30" formatCode="@"/>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name val="Aptos"/>
      </font>
      <fill>
        <patternFill patternType="none">
          <fgColor indexed="64"/>
          <bgColor auto="1"/>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name val="Aptos"/>
      </font>
      <fill>
        <patternFill patternType="none">
          <fgColor indexed="64"/>
          <bgColor auto="1"/>
        </patternFill>
      </fill>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3"/>
        <name val="Aptos"/>
        <scheme val="none"/>
      </font>
      <fill>
        <patternFill patternType="solid">
          <fgColor indexed="64"/>
          <bgColor theme="3" tint="0.89999084444715716"/>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name val="Aptos"/>
      </font>
      <border diagonalUp="0" diagonalDown="0">
        <left style="thin">
          <color indexed="64"/>
        </left>
        <right/>
        <top style="thin">
          <color indexed="64"/>
        </top>
        <bottom style="thin">
          <color indexed="64"/>
        </bottom>
        <vertical style="thin">
          <color indexed="64"/>
        </vertical>
        <horizontal style="thin">
          <color indexed="64"/>
        </horizontal>
      </border>
    </dxf>
    <dxf>
      <font>
        <name val="Aptos"/>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ptos"/>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ptos"/>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ptos"/>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Aptos"/>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name val="Aptos"/>
      </font>
    </dxf>
    <dxf>
      <border>
        <bottom style="thin">
          <color indexed="64"/>
        </bottom>
      </border>
    </dxf>
    <dxf>
      <font>
        <b/>
        <i val="0"/>
        <strike val="0"/>
        <condense val="0"/>
        <extend val="0"/>
        <outline val="0"/>
        <shadow val="0"/>
        <u val="none"/>
        <vertAlign val="baseline"/>
        <sz val="11"/>
        <color theme="3"/>
        <name val="Aptos"/>
        <family val="2"/>
        <scheme val="none"/>
      </font>
      <fill>
        <patternFill patternType="solid">
          <fgColor indexed="64"/>
          <bgColor theme="3" tint="0.89999084444715716"/>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8</xdr:col>
      <xdr:colOff>421005</xdr:colOff>
      <xdr:row>4</xdr:row>
      <xdr:rowOff>114300</xdr:rowOff>
    </xdr:from>
    <xdr:to>
      <xdr:col>11</xdr:col>
      <xdr:colOff>415290</xdr:colOff>
      <xdr:row>18</xdr:row>
      <xdr:rowOff>167640</xdr:rowOff>
    </xdr:to>
    <mc:AlternateContent xmlns:mc="http://schemas.openxmlformats.org/markup-compatibility/2006" xmlns:a14="http://schemas.microsoft.com/office/drawing/2010/main">
      <mc:Choice Requires="a14">
        <xdr:graphicFrame macro="">
          <xdr:nvGraphicFramePr>
            <xdr:cNvPr id="2" name="Team">
              <a:extLst>
                <a:ext uri="{FF2B5EF4-FFF2-40B4-BE49-F238E27FC236}">
                  <a16:creationId xmlns:a16="http://schemas.microsoft.com/office/drawing/2014/main" id="{BB2FB8F2-D5D4-4169-15C2-E86D9A931743}"/>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11851005" y="838200"/>
              <a:ext cx="1823085" cy="259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na Karmacharya" refreshedDate="46254.346299999997" createdVersion="8" refreshedVersion="8" minRefreshableVersion="3" recordCount="135" xr:uid="{7525DD87-A536-49C5-8871-A79ACF67040F}">
  <cacheSource type="worksheet">
    <worksheetSource name="PartnerDirectory"/>
  </cacheSource>
  <cacheFields count="7">
    <cacheField name="Full name" numFmtId="0">
      <sharedItems count="133">
        <s v="Aaliyah Abbott"/>
        <s v="Aaron Alvarez"/>
        <s v="Abigail Anderson"/>
        <s v="Adrian Baker"/>
        <s v="Aisha Banerjee"/>
        <s v="Alejandro Banks"/>
        <s v="Alexis Barrett"/>
        <s v="Amara Bautista"/>
        <s v="Amir Becker"/>
        <s v="Ana Bell"/>
        <s v="Andre Bishop"/>
        <s v="Anika Blackwell"/>
        <s v="Anthony Brooks"/>
        <s v="Aria Brown"/>
        <s v="Arianna Campbell"/>
        <s v="Asher Castillo"/>
        <s v="Avery Chambers"/>
        <s v="Bianca Chang"/>
        <s v="Brandon Chavez"/>
        <s v="Brianna Chen"/>
        <s v="Caleb Clark"/>
        <s v="Camila Coleman"/>
        <s v="Carmen Collins"/>
        <s v="Carter Cooper"/>
        <s v="Cassidy Cruz"/>
        <s v="Celine Davis"/>
        <s v="Chloe Desai"/>
        <s v="Christian Diaz"/>
        <s v="Clara Edwards"/>
        <s v="Cole Evans"/>
        <s v="Dalia Flores"/>
        <s v="Damian Foster"/>
        <s v="Daniel Garcia"/>
        <s v="Danielle Gomez"/>
        <s v="Darius Gonzalez"/>
        <s v="David Grant"/>
        <s v="Delilah Green"/>
        <s v="Diego Gupta"/>
        <s v="Dominic Hall"/>
        <s v="Eleanor Harris"/>
        <s v="Elijah Hill"/>
        <s v="Elise Howard"/>
        <s v="Emilio Hughes"/>
        <s v="Emma Jackson"/>
        <s v="Ethan James"/>
        <s v="Eva Johnson"/>
        <s v="Evelyn Kapoor"/>
        <s v="Ezra Khan"/>
        <s v="Fatima Kim"/>
        <s v="Felix King"/>
        <s v="Gabriel Larson"/>
        <s v="Gabriela Lee"/>
        <s v="Gavin Lewis"/>
        <s v="Gianna Lopez"/>
        <s v="Grace Martin"/>
        <s v="Hana Martinez"/>
        <s v="Harper Mason"/>
        <s v="Henry Mitchell"/>
        <s v="Hugo Moore"/>
        <s v="Imani Morales"/>
        <s v="Isaac Morgan"/>
        <s v="Isabella Murphy"/>
        <s v="Jada Nakamura"/>
        <s v="Jamal Nelson"/>
        <s v="Jasmine Nguyen"/>
        <s v="Javier Ortiz"/>
        <s v="Jayden Owens"/>
        <s v="Jocelyn Patel"/>
        <s v="Jonah Perez"/>
        <s v="Josephine Perry"/>
        <s v="Julian Peterson"/>
        <s v="Kai Phillips"/>
        <s v="Kaitlyn Price"/>
        <s v="Kareem Ramirez"/>
        <s v="Keira Ramos"/>
        <s v="Khalil Reed"/>
        <s v="Laila Reyes"/>
        <s v="Lena Richardson"/>
        <s v="Leo Rivera"/>
        <s v="Liam Roberts"/>
        <s v="Lila Robinson"/>
        <s v="Lorenzo Rodriguez"/>
        <s v="Lucia Rogers"/>
        <s v="Luis Ross"/>
        <s v="Maya Russell"/>
        <s v="Mateo Sanchez"/>
        <s v="Mia Sanders"/>
        <s v="Micah Scott"/>
        <s v="Mila Shah"/>
        <s v="Naomi Singh"/>
        <s v="Natalia Smith"/>
        <s v="Nathan Stewart"/>
        <s v="Nia Sullivan"/>
        <s v="Nicolas Taylor"/>
        <s v="Noah Thomas"/>
        <s v="Nora Thompson"/>
        <s v="Omar Torres"/>
        <s v="Olivia Tran"/>
        <s v="Oscar Turner"/>
        <s v="Priya Vasquez"/>
        <s v="Rafael Walker"/>
        <s v="Raina Ward"/>
        <s v="Roman Washington"/>
        <s v="Ruby Watson"/>
        <s v="Sabrina White"/>
        <s v="Samir Williams"/>
        <s v="Santiago Wilson"/>
        <s v="Sara Wright"/>
        <s v="Sebastian Young"/>
        <s v="Selena Adeyemi"/>
        <s v="Sofia Bennett"/>
        <s v="Sonia Choudhury"/>
        <s v="Talia Davenport"/>
        <s v="Theo Ellis"/>
        <s v="Valentina Fernandez"/>
        <s v="Victor Fujimoto"/>
        <s v="Vivian Haddad"/>
        <s v="Xavier Ibrahim"/>
        <s v="Yara Jensen"/>
        <s v="Yasmin Kaur"/>
        <s v="Zachary Liu"/>
        <s v="Zara Mensah"/>
        <s v="Zoe Novak"/>
        <s v="Malik Okafor"/>
        <s v="Mei Park"/>
        <s v="Rohan Quintero"/>
        <s v="Leila Rahman"/>
        <s v="Dante Sato"/>
        <s v="Iris Tremblay"/>
        <s v="Kiana Usman"/>
        <s v="Marcus Valdez"/>
        <s v="Nadia Wong"/>
        <s v="Elena Hernandez" u="1"/>
      </sharedItems>
    </cacheField>
    <cacheField name="Role" numFmtId="0">
      <sharedItems count="39">
        <s v="Help Desk Supervisor"/>
        <s v="Project Manager"/>
        <s v="Technical Project Lead"/>
        <s v="Business Systems Manager"/>
        <s v="Enterprise Endpoint Administrator"/>
        <s v="Information Security Analyst"/>
        <s v="Trainer"/>
        <s v="PC Systems Specialist"/>
        <s v="Business System Analyst"/>
        <s v="Systems Administrator"/>
        <s v="Enterprise Endpoint Manager"/>
        <s v="Help Desk Analyst"/>
        <s v="Business Systems Analyst "/>
        <s v="Network Systems Manager"/>
        <s v="IT Service Technician"/>
        <s v="Help Desk Manager"/>
        <s v="Help Desk Analyst I"/>
        <s v="Application Development Manager"/>
        <s v="Network Systems Analyst"/>
        <s v="Business Systems Analyst"/>
        <s v="Business System Manager"/>
        <s v="QA"/>
        <s v="Information Security Administrator"/>
        <s v="Quality Assurance Manager"/>
        <s v="Solution Architect"/>
        <s v="Application Developer"/>
        <s v="SAP Basis Manager"/>
        <s v="Database Administrator"/>
        <s v="QA Automation"/>
        <s v="Senior Manager - Business Systems "/>
        <s v="IT Services Lead Technician"/>
        <s v="SAP Systems Administrator"/>
        <s v="Software Systems Engineer"/>
        <s v="Training and Change Coordinator"/>
        <s v="Technical Support Manager"/>
        <s v="Help Desk Analyst "/>
        <s v="Data &amp; Integration Architect"/>
        <s v="PMO Analyst"/>
        <s v="Information Security Engineer"/>
      </sharedItems>
    </cacheField>
    <cacheField name="Team" numFmtId="0">
      <sharedItems count="22">
        <s v="IT-Help Desk"/>
        <s v="IT- PMO"/>
        <s v="IT-Application Development"/>
        <s v="IT Retail BSM "/>
        <s v="Reasor's Support and Retail- 9016"/>
        <s v="IT- Security"/>
        <s v="IT-Training"/>
        <s v="IT- End Point"/>
        <s v="IT-FI BSM"/>
        <s v="IT-SC BSM"/>
        <s v="IT-Marketing BSM"/>
        <s v="IT Services (RTS)"/>
        <s v="IT- Technical Support management"/>
        <s v="IT- Network"/>
        <s v="IT- HR BSM"/>
        <s v="IT- QA"/>
        <s v="IT-Enterprise Architect"/>
        <s v="Reasor's  Store  Systems - 9014"/>
        <s v="IT-Basis Management"/>
        <s v="Reasor's Application Development"/>
        <s v="IT- Data and Integration"/>
        <s v="IT - PMO " u="1"/>
      </sharedItems>
    </cacheField>
    <cacheField name="Partner ID" numFmtId="0">
      <sharedItems count="133">
        <s v="EMP0025"/>
        <s v="EMP0051"/>
        <s v="EMP0077"/>
        <s v="EMP0129"/>
        <s v="EMP0103"/>
        <s v="TP00019"/>
        <s v="EMP0111"/>
        <s v="EMP0007"/>
        <s v="EMP0033"/>
        <s v="EMP0059"/>
        <s v="EMP0085"/>
        <s v="EMP0026"/>
        <s v="EMP0052"/>
        <s v="EMP0078"/>
        <s v="EMP0104"/>
        <s v="EMP0130"/>
        <s v="TP00023"/>
        <s v="EMP0095"/>
        <s v="EMP0017"/>
        <s v="EMP0121"/>
        <s v="EMP0043"/>
        <s v="EMP0069"/>
        <s v="EMP0110"/>
        <s v="EMP0006"/>
        <s v="EMP0032"/>
        <s v="EMP0058"/>
        <s v="EMP0084"/>
        <s v="EMP0004"/>
        <s v="EMP0030"/>
        <s v="EMP0056"/>
        <s v="EMP0082"/>
        <s v="EMP0108"/>
        <s v="EMP0093"/>
        <s v="EMP0119"/>
        <s v="EMP0015"/>
        <s v="EMP0041"/>
        <s v="EMP0067"/>
        <s v="EMP0096"/>
        <s v="EMP0018"/>
        <s v="EMP0122"/>
        <s v="EMP0070"/>
        <s v="EMP0117"/>
        <s v="EMP0013"/>
        <s v="EMP0039"/>
        <s v="EMP0065"/>
        <s v="EMP0091"/>
        <s v="EMP0092"/>
        <s v="EMP0118"/>
        <s v="EMP0014"/>
        <s v="EMP0040"/>
        <s v="EMP0066"/>
        <s v="EMP0094"/>
        <s v="EMP0120"/>
        <s v="EMP0016"/>
        <s v="EMP0042"/>
        <s v="EMP0068"/>
        <s v="EMP0001"/>
        <s v="EMP0027"/>
        <s v="EMP0053"/>
        <s v="EMP0079"/>
        <s v="EMP0105"/>
        <s v="EMP0097"/>
        <s v="EMP0019"/>
        <s v="EMP0123"/>
        <s v="EMP0045"/>
        <s v="EMP0071"/>
        <s v="EMP0098"/>
        <s v="EMP0020"/>
        <s v="EMP0124"/>
        <s v="EMP0046"/>
        <s v="EMP0072"/>
        <s v="EMP0073"/>
        <s v="EMP0125"/>
        <s v="EMP0099"/>
        <s v="EMP0021"/>
        <s v="EMP0047"/>
        <s v="EMP0003"/>
        <s v="EMP0029"/>
        <s v="EMP0055"/>
        <s v="EMP0081"/>
        <s v="EMP0107"/>
        <s v="EMP0112"/>
        <s v="EMP0008"/>
        <s v="EMP0034"/>
        <s v="EMP0060"/>
        <s v="EMP0086"/>
        <s v="EMP0074"/>
        <s v="EMP0126"/>
        <s v="EMP0100"/>
        <s v="EMP0022"/>
        <s v="EMP0048"/>
        <s v="EMP0113"/>
        <s v="EMP0009"/>
        <s v="EMP0035"/>
        <s v="EMP0061"/>
        <s v="EMP0087"/>
        <s v="TP00024"/>
        <s v="EMP0114"/>
        <s v="EMP0010"/>
        <s v="EMP0036"/>
        <s v="EMP0062"/>
        <s v="EMP0088"/>
        <s v="EMP0109"/>
        <s v="EMP0005"/>
        <s v="EMP0031"/>
        <s v="EMP0057"/>
        <s v="EMP0083"/>
        <s v="EMP0116"/>
        <s v="EMP0012"/>
        <s v="EMP0038"/>
        <s v="EMP0064"/>
        <s v="EMP0090"/>
        <s v="EMP0049"/>
        <s v="EMP0075"/>
        <s v="EMP0127"/>
        <s v="EMP0101"/>
        <s v="EMP0023"/>
        <s v="EMP0115"/>
        <s v="EMP0011"/>
        <s v="EMP0037"/>
        <s v="EMP0063"/>
        <s v="EMP0089"/>
        <s v="EMP0024"/>
        <s v="EMP0050"/>
        <s v="EMP0076"/>
        <s v="EMP0128"/>
        <s v="EMP0102"/>
        <s v="EMP0002"/>
        <s v="EMP0028"/>
        <s v="EMP0054"/>
        <s v="EMP0080"/>
        <s v="EMP0106"/>
        <s v="EMP0044" u="1"/>
      </sharedItems>
    </cacheField>
    <cacheField name="Email Address" numFmtId="0">
      <sharedItems count="133">
        <s v="aaliyah.abbott@hackathon.com"/>
        <s v="aaron.alvarez@hackathon.com"/>
        <s v="abigail.anderson@hackathon.com"/>
        <s v="adrian.baker@hackathon.com"/>
        <s v="aisha.banerjee@hackathon.com"/>
        <s v="alejandro.banks@hackathon.com"/>
        <s v="alexis.barrett@hackathon.com"/>
        <s v="amara.bautista@hackathon.com"/>
        <s v="amir.becker@hackathon.com"/>
        <s v="ana.bell@hackathon.com"/>
        <s v="andre.bishop@hackathon.com"/>
        <s v="anika.blackwell@hackathon.com"/>
        <s v="anthony.brooks@hackathon.com"/>
        <s v="aria.brown@hackathon.com"/>
        <s v="arianna.campbell@hackathon.com"/>
        <s v="asher.castillo@hackathon.com"/>
        <s v="avery.chambers@hackathon.com"/>
        <s v="bianca.chang@hackathon.com"/>
        <s v="brandon.chavez@hackathon.com"/>
        <s v="brianna.chen@hackathon.com"/>
        <s v="caleb.clark@hackathon.com"/>
        <s v="camila.coleman@hackathon.com"/>
        <s v="carmen.collins@hackathon.com"/>
        <s v="carter.cooper@hackathon.com"/>
        <s v="cassidy.cruz@hackathon.com"/>
        <s v="celine.davis@hackathon.com"/>
        <s v="chloe.desai@hackathon.com"/>
        <s v="christian.diaz@hackathon.com"/>
        <s v="clara.edwards@hackathon.com"/>
        <s v="cole.evans@hackathon.com"/>
        <s v="dalia.flores@hackathon.com"/>
        <s v="damian.foster@hackathon.com"/>
        <s v="daniel.garcia@hackathon.com"/>
        <s v="danielle.gomez@hackathon.com"/>
        <s v="darius.gonzalez@hackathon.com"/>
        <s v="david.grant@hackathon.com"/>
        <s v="delilah.green@hackathon.com"/>
        <s v="diego.gupta@hackathon.com"/>
        <s v="dominic.hall@hackathon.com"/>
        <s v="eleanor.harris@hackathon.com"/>
        <s v="elijah.hill@hackathon.com"/>
        <s v="elise.howard@hackathon.com"/>
        <s v="emilio.hughes@hackathon.com"/>
        <s v="emma.jackson@hackathon.com"/>
        <s v="ethan.james@hackathon.com"/>
        <s v="eva.johnson@hackathon.com"/>
        <s v="evelyn.kapoor@hackathon.com"/>
        <s v="ezra.khan@hackathon.com"/>
        <s v="fatima.kim@hackathon.com"/>
        <s v="felix.king@hackathon.com"/>
        <s v="gabriel.larson@hackathon.com"/>
        <s v="gabriela.lee@hackathon.com"/>
        <s v="gavin.lewis@hackathon.com"/>
        <s v="gianna.lopez@hackathon.com"/>
        <s v="grace.martin@hackathon.com"/>
        <s v="hana.martinez@hackathon.com"/>
        <s v="harper.mason@hackathon.com"/>
        <s v="henry.mitchell@hackathon.com"/>
        <s v="hugo.moore@hackathon.com"/>
        <s v="imani.morales@hackathon.com"/>
        <s v="isaac.morgan@hackathon.com"/>
        <s v="isabella.murphy@hackathon.com"/>
        <s v="jada.nakamura@hackathon.com"/>
        <s v="jamal.nelson@hackathon.com"/>
        <s v="jasmine.nguyen@hackathon.com"/>
        <s v="javier.ortiz@hackathon.com"/>
        <s v="jayden.owens@hackathon.com"/>
        <s v="jocelyn.patel@hackathon.com"/>
        <s v="jonah.perez@hackathon.com"/>
        <s v="josephine.perry@hackathon.com"/>
        <s v="julian.peterson@hackathon.com"/>
        <s v="kai.phillips@hackathon.com"/>
        <s v="kaitlyn.price@hackathon.com"/>
        <s v="kareem.ramirez@hackathon.com"/>
        <s v="keira.ramos@hackathon.com"/>
        <s v="khalil.reed@hackathon.com"/>
        <s v="laila.reyes@hackathon.com"/>
        <s v="lena.richardson@hackathon.com"/>
        <s v="leo.rivera@hackathon.com"/>
        <s v="liam.roberts@hackathon.com"/>
        <s v="lila.robinson@hackathon.com"/>
        <s v="lorenzo.rodriguez@hackathon.com"/>
        <s v="lucia.rogers@hackathon.com"/>
        <s v="luis.ross@hackathon.com"/>
        <s v="maya.russell@hackathon.com"/>
        <s v="mateo.sanchez@hackathon.com"/>
        <s v="mia.sanders@hackathon.com"/>
        <s v="micah.scott@hackathon.com"/>
        <s v="mila.shah@hackathon.com"/>
        <s v="naomi.singh@hackathon.com"/>
        <s v="natalia.smith@hackathon.com"/>
        <s v="nathan.stewart@hackathon.com"/>
        <s v="nia.sullivan@hackathon.com"/>
        <s v="nicolas.taylor@hackathon.com"/>
        <s v="noah.thomas@hackathon.com"/>
        <s v="nora.thompson@hackathon.com"/>
        <s v="omar.torres@hackathon.com"/>
        <s v="olivia.tran@hackathon.com"/>
        <s v="oscar.turner@hackathon.com"/>
        <s v="priya.vasquez@hackathon.com"/>
        <s v="rafael.walker@hackathon.com"/>
        <s v="raina.ward@hackathon.com"/>
        <s v="roman.washington@hackathon.com"/>
        <s v="ruby.watson@hackathon.com"/>
        <s v="sabrina.white@hackathon.com"/>
        <s v="samir.williams@hackathon.com"/>
        <s v="santiago.wilson@hackathon.com"/>
        <s v="sara.wright@hackathon.com"/>
        <s v="sebastian.young@hackathon.com"/>
        <s v="selena.adeyemi@hackathon.com"/>
        <s v="sofia.bennett@hackathon.com"/>
        <s v="sonia.choudhury@hackathon.com"/>
        <s v="talia.davenport@hackathon.com"/>
        <s v="theo.ellis@hackathon.com"/>
        <s v="valentina.fernandez@hackathon.com"/>
        <s v="victor.fujimoto@hackathon.com"/>
        <s v="vivian.haddad@hackathon.com"/>
        <s v="xavier.ibrahim@hackathon.com"/>
        <s v="yara.jensen@hackathon.com"/>
        <s v="yasmin.kaur@hackathon.com"/>
        <s v="zachary.liu@hackathon.com"/>
        <s v="zara.mensah@hackathon.com"/>
        <s v="zoe.novak@hackathon.com"/>
        <s v="malik.okafor@hackathon.com"/>
        <s v="mei.park@hackathon.com"/>
        <s v="rohan.quintero@hackathon.com"/>
        <s v="leila.rahman@hackathon.com"/>
        <s v="dante.sato@hackathon.com"/>
        <s v="iris.tremblay@hackathon.com"/>
        <s v="kiana.usman@hackathon.com"/>
        <s v="marcus.valdez@hackathon.com"/>
        <s v="nadia.wong@hackathon.com"/>
        <s v="elena.hernandez@hackathon.com" u="1"/>
      </sharedItems>
    </cacheField>
    <cacheField name="Employment" numFmtId="0">
      <sharedItems count="2">
        <s v="Partner"/>
        <s v="Contractor"/>
      </sharedItems>
    </cacheField>
    <cacheField name="Status" numFmtId="0">
      <sharedItems count="2">
        <s v="Active"/>
        <s v="Inactive"/>
      </sharedItems>
    </cacheField>
  </cacheFields>
  <extLst>
    <ext xmlns:x14="http://schemas.microsoft.com/office/spreadsheetml/2009/9/main" uri="{725AE2AE-9491-48be-B2B4-4EB974FC3084}">
      <x14:pivotCacheDefinition pivotCacheId="5327643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x v="0"/>
    <x v="0"/>
    <x v="0"/>
    <x v="0"/>
    <x v="0"/>
    <x v="0"/>
    <x v="0"/>
  </r>
  <r>
    <x v="1"/>
    <x v="1"/>
    <x v="1"/>
    <x v="1"/>
    <x v="1"/>
    <x v="0"/>
    <x v="0"/>
  </r>
  <r>
    <x v="2"/>
    <x v="2"/>
    <x v="2"/>
    <x v="2"/>
    <x v="2"/>
    <x v="0"/>
    <x v="0"/>
  </r>
  <r>
    <x v="3"/>
    <x v="3"/>
    <x v="3"/>
    <x v="3"/>
    <x v="3"/>
    <x v="0"/>
    <x v="0"/>
  </r>
  <r>
    <x v="4"/>
    <x v="4"/>
    <x v="4"/>
    <x v="4"/>
    <x v="4"/>
    <x v="0"/>
    <x v="0"/>
  </r>
  <r>
    <x v="5"/>
    <x v="1"/>
    <x v="1"/>
    <x v="5"/>
    <x v="5"/>
    <x v="1"/>
    <x v="0"/>
  </r>
  <r>
    <x v="6"/>
    <x v="5"/>
    <x v="5"/>
    <x v="6"/>
    <x v="6"/>
    <x v="0"/>
    <x v="0"/>
  </r>
  <r>
    <x v="7"/>
    <x v="6"/>
    <x v="6"/>
    <x v="7"/>
    <x v="7"/>
    <x v="0"/>
    <x v="0"/>
  </r>
  <r>
    <x v="8"/>
    <x v="7"/>
    <x v="7"/>
    <x v="8"/>
    <x v="8"/>
    <x v="0"/>
    <x v="0"/>
  </r>
  <r>
    <x v="9"/>
    <x v="8"/>
    <x v="3"/>
    <x v="9"/>
    <x v="9"/>
    <x v="0"/>
    <x v="0"/>
  </r>
  <r>
    <x v="10"/>
    <x v="4"/>
    <x v="7"/>
    <x v="10"/>
    <x v="10"/>
    <x v="0"/>
    <x v="1"/>
  </r>
  <r>
    <x v="11"/>
    <x v="8"/>
    <x v="8"/>
    <x v="11"/>
    <x v="11"/>
    <x v="0"/>
    <x v="0"/>
  </r>
  <r>
    <x v="12"/>
    <x v="8"/>
    <x v="9"/>
    <x v="12"/>
    <x v="12"/>
    <x v="0"/>
    <x v="0"/>
  </r>
  <r>
    <x v="13"/>
    <x v="9"/>
    <x v="7"/>
    <x v="13"/>
    <x v="13"/>
    <x v="0"/>
    <x v="0"/>
  </r>
  <r>
    <x v="14"/>
    <x v="10"/>
    <x v="7"/>
    <x v="14"/>
    <x v="14"/>
    <x v="0"/>
    <x v="0"/>
  </r>
  <r>
    <x v="15"/>
    <x v="11"/>
    <x v="0"/>
    <x v="15"/>
    <x v="15"/>
    <x v="0"/>
    <x v="0"/>
  </r>
  <r>
    <x v="16"/>
    <x v="1"/>
    <x v="1"/>
    <x v="16"/>
    <x v="16"/>
    <x v="1"/>
    <x v="0"/>
  </r>
  <r>
    <x v="17"/>
    <x v="12"/>
    <x v="10"/>
    <x v="17"/>
    <x v="17"/>
    <x v="0"/>
    <x v="0"/>
  </r>
  <r>
    <x v="18"/>
    <x v="13"/>
    <x v="4"/>
    <x v="18"/>
    <x v="18"/>
    <x v="0"/>
    <x v="0"/>
  </r>
  <r>
    <x v="19"/>
    <x v="14"/>
    <x v="11"/>
    <x v="19"/>
    <x v="19"/>
    <x v="0"/>
    <x v="0"/>
  </r>
  <r>
    <x v="20"/>
    <x v="15"/>
    <x v="0"/>
    <x v="20"/>
    <x v="20"/>
    <x v="0"/>
    <x v="0"/>
  </r>
  <r>
    <x v="21"/>
    <x v="16"/>
    <x v="0"/>
    <x v="21"/>
    <x v="21"/>
    <x v="0"/>
    <x v="0"/>
  </r>
  <r>
    <x v="22"/>
    <x v="9"/>
    <x v="12"/>
    <x v="22"/>
    <x v="22"/>
    <x v="0"/>
    <x v="0"/>
  </r>
  <r>
    <x v="23"/>
    <x v="8"/>
    <x v="3"/>
    <x v="23"/>
    <x v="23"/>
    <x v="0"/>
    <x v="0"/>
  </r>
  <r>
    <x v="24"/>
    <x v="2"/>
    <x v="2"/>
    <x v="24"/>
    <x v="24"/>
    <x v="0"/>
    <x v="0"/>
  </r>
  <r>
    <x v="25"/>
    <x v="6"/>
    <x v="6"/>
    <x v="25"/>
    <x v="25"/>
    <x v="0"/>
    <x v="0"/>
  </r>
  <r>
    <x v="26"/>
    <x v="8"/>
    <x v="3"/>
    <x v="26"/>
    <x v="26"/>
    <x v="0"/>
    <x v="0"/>
  </r>
  <r>
    <x v="27"/>
    <x v="17"/>
    <x v="2"/>
    <x v="27"/>
    <x v="27"/>
    <x v="0"/>
    <x v="0"/>
  </r>
  <r>
    <x v="28"/>
    <x v="4"/>
    <x v="4"/>
    <x v="28"/>
    <x v="28"/>
    <x v="0"/>
    <x v="0"/>
  </r>
  <r>
    <x v="29"/>
    <x v="8"/>
    <x v="9"/>
    <x v="29"/>
    <x v="29"/>
    <x v="0"/>
    <x v="0"/>
  </r>
  <r>
    <x v="30"/>
    <x v="18"/>
    <x v="13"/>
    <x v="30"/>
    <x v="30"/>
    <x v="0"/>
    <x v="0"/>
  </r>
  <r>
    <x v="31"/>
    <x v="4"/>
    <x v="7"/>
    <x v="31"/>
    <x v="31"/>
    <x v="0"/>
    <x v="0"/>
  </r>
  <r>
    <x v="32"/>
    <x v="19"/>
    <x v="14"/>
    <x v="32"/>
    <x v="32"/>
    <x v="0"/>
    <x v="0"/>
  </r>
  <r>
    <x v="33"/>
    <x v="20"/>
    <x v="9"/>
    <x v="33"/>
    <x v="33"/>
    <x v="0"/>
    <x v="1"/>
  </r>
  <r>
    <x v="34"/>
    <x v="6"/>
    <x v="6"/>
    <x v="34"/>
    <x v="34"/>
    <x v="0"/>
    <x v="0"/>
  </r>
  <r>
    <x v="35"/>
    <x v="6"/>
    <x v="6"/>
    <x v="35"/>
    <x v="35"/>
    <x v="0"/>
    <x v="0"/>
  </r>
  <r>
    <x v="36"/>
    <x v="21"/>
    <x v="15"/>
    <x v="36"/>
    <x v="36"/>
    <x v="0"/>
    <x v="0"/>
  </r>
  <r>
    <x v="37"/>
    <x v="22"/>
    <x v="5"/>
    <x v="37"/>
    <x v="37"/>
    <x v="0"/>
    <x v="0"/>
  </r>
  <r>
    <x v="38"/>
    <x v="11"/>
    <x v="0"/>
    <x v="38"/>
    <x v="38"/>
    <x v="0"/>
    <x v="0"/>
  </r>
  <r>
    <x v="39"/>
    <x v="7"/>
    <x v="7"/>
    <x v="39"/>
    <x v="39"/>
    <x v="0"/>
    <x v="0"/>
  </r>
  <r>
    <x v="40"/>
    <x v="11"/>
    <x v="0"/>
    <x v="40"/>
    <x v="40"/>
    <x v="0"/>
    <x v="0"/>
  </r>
  <r>
    <x v="41"/>
    <x v="23"/>
    <x v="15"/>
    <x v="41"/>
    <x v="41"/>
    <x v="0"/>
    <x v="0"/>
  </r>
  <r>
    <x v="42"/>
    <x v="6"/>
    <x v="6"/>
    <x v="42"/>
    <x v="42"/>
    <x v="0"/>
    <x v="0"/>
  </r>
  <r>
    <x v="43"/>
    <x v="24"/>
    <x v="16"/>
    <x v="43"/>
    <x v="43"/>
    <x v="0"/>
    <x v="0"/>
  </r>
  <r>
    <x v="44"/>
    <x v="19"/>
    <x v="14"/>
    <x v="44"/>
    <x v="44"/>
    <x v="0"/>
    <x v="0"/>
  </r>
  <r>
    <x v="45"/>
    <x v="21"/>
    <x v="15"/>
    <x v="45"/>
    <x v="45"/>
    <x v="0"/>
    <x v="1"/>
  </r>
  <r>
    <x v="46"/>
    <x v="25"/>
    <x v="2"/>
    <x v="46"/>
    <x v="46"/>
    <x v="0"/>
    <x v="0"/>
  </r>
  <r>
    <x v="47"/>
    <x v="8"/>
    <x v="9"/>
    <x v="47"/>
    <x v="47"/>
    <x v="0"/>
    <x v="0"/>
  </r>
  <r>
    <x v="48"/>
    <x v="1"/>
    <x v="1"/>
    <x v="48"/>
    <x v="48"/>
    <x v="0"/>
    <x v="0"/>
  </r>
  <r>
    <x v="49"/>
    <x v="19"/>
    <x v="17"/>
    <x v="49"/>
    <x v="49"/>
    <x v="0"/>
    <x v="0"/>
  </r>
  <r>
    <x v="50"/>
    <x v="19"/>
    <x v="8"/>
    <x v="50"/>
    <x v="50"/>
    <x v="0"/>
    <x v="0"/>
  </r>
  <r>
    <x v="51"/>
    <x v="8"/>
    <x v="9"/>
    <x v="51"/>
    <x v="51"/>
    <x v="0"/>
    <x v="0"/>
  </r>
  <r>
    <x v="52"/>
    <x v="8"/>
    <x v="8"/>
    <x v="52"/>
    <x v="52"/>
    <x v="0"/>
    <x v="0"/>
  </r>
  <r>
    <x v="53"/>
    <x v="8"/>
    <x v="3"/>
    <x v="53"/>
    <x v="53"/>
    <x v="0"/>
    <x v="0"/>
  </r>
  <r>
    <x v="54"/>
    <x v="26"/>
    <x v="18"/>
    <x v="54"/>
    <x v="54"/>
    <x v="0"/>
    <x v="0"/>
  </r>
  <r>
    <x v="55"/>
    <x v="17"/>
    <x v="19"/>
    <x v="55"/>
    <x v="55"/>
    <x v="0"/>
    <x v="0"/>
  </r>
  <r>
    <x v="56"/>
    <x v="9"/>
    <x v="12"/>
    <x v="56"/>
    <x v="56"/>
    <x v="0"/>
    <x v="0"/>
  </r>
  <r>
    <x v="57"/>
    <x v="8"/>
    <x v="8"/>
    <x v="57"/>
    <x v="57"/>
    <x v="0"/>
    <x v="1"/>
  </r>
  <r>
    <x v="58"/>
    <x v="18"/>
    <x v="13"/>
    <x v="58"/>
    <x v="58"/>
    <x v="0"/>
    <x v="0"/>
  </r>
  <r>
    <x v="59"/>
    <x v="8"/>
    <x v="10"/>
    <x v="59"/>
    <x v="59"/>
    <x v="0"/>
    <x v="0"/>
  </r>
  <r>
    <x v="60"/>
    <x v="4"/>
    <x v="7"/>
    <x v="60"/>
    <x v="60"/>
    <x v="0"/>
    <x v="0"/>
  </r>
  <r>
    <x v="61"/>
    <x v="13"/>
    <x v="13"/>
    <x v="61"/>
    <x v="61"/>
    <x v="0"/>
    <x v="0"/>
  </r>
  <r>
    <x v="62"/>
    <x v="4"/>
    <x v="7"/>
    <x v="62"/>
    <x v="62"/>
    <x v="0"/>
    <x v="0"/>
  </r>
  <r>
    <x v="63"/>
    <x v="27"/>
    <x v="12"/>
    <x v="63"/>
    <x v="63"/>
    <x v="0"/>
    <x v="0"/>
  </r>
  <r>
    <x v="64"/>
    <x v="2"/>
    <x v="2"/>
    <x v="64"/>
    <x v="64"/>
    <x v="0"/>
    <x v="0"/>
  </r>
  <r>
    <x v="65"/>
    <x v="6"/>
    <x v="6"/>
    <x v="65"/>
    <x v="65"/>
    <x v="0"/>
    <x v="0"/>
  </r>
  <r>
    <x v="66"/>
    <x v="28"/>
    <x v="15"/>
    <x v="66"/>
    <x v="66"/>
    <x v="0"/>
    <x v="0"/>
  </r>
  <r>
    <x v="67"/>
    <x v="29"/>
    <x v="14"/>
    <x v="67"/>
    <x v="67"/>
    <x v="0"/>
    <x v="0"/>
  </r>
  <r>
    <x v="68"/>
    <x v="30"/>
    <x v="11"/>
    <x v="68"/>
    <x v="68"/>
    <x v="0"/>
    <x v="0"/>
  </r>
  <r>
    <x v="69"/>
    <x v="31"/>
    <x v="18"/>
    <x v="69"/>
    <x v="69"/>
    <x v="0"/>
    <x v="0"/>
  </r>
  <r>
    <x v="70"/>
    <x v="11"/>
    <x v="0"/>
    <x v="70"/>
    <x v="70"/>
    <x v="0"/>
    <x v="0"/>
  </r>
  <r>
    <x v="71"/>
    <x v="8"/>
    <x v="9"/>
    <x v="71"/>
    <x v="71"/>
    <x v="0"/>
    <x v="0"/>
  </r>
  <r>
    <x v="72"/>
    <x v="18"/>
    <x v="12"/>
    <x v="72"/>
    <x v="72"/>
    <x v="0"/>
    <x v="0"/>
  </r>
  <r>
    <x v="72"/>
    <x v="18"/>
    <x v="13"/>
    <x v="72"/>
    <x v="72"/>
    <x v="0"/>
    <x v="0"/>
  </r>
  <r>
    <x v="73"/>
    <x v="8"/>
    <x v="9"/>
    <x v="73"/>
    <x v="73"/>
    <x v="0"/>
    <x v="0"/>
  </r>
  <r>
    <x v="74"/>
    <x v="6"/>
    <x v="6"/>
    <x v="74"/>
    <x v="74"/>
    <x v="0"/>
    <x v="0"/>
  </r>
  <r>
    <x v="75"/>
    <x v="8"/>
    <x v="8"/>
    <x v="75"/>
    <x v="75"/>
    <x v="0"/>
    <x v="0"/>
  </r>
  <r>
    <x v="76"/>
    <x v="8"/>
    <x v="3"/>
    <x v="76"/>
    <x v="76"/>
    <x v="0"/>
    <x v="0"/>
  </r>
  <r>
    <x v="77"/>
    <x v="18"/>
    <x v="13"/>
    <x v="77"/>
    <x v="77"/>
    <x v="0"/>
    <x v="0"/>
  </r>
  <r>
    <x v="78"/>
    <x v="1"/>
    <x v="1"/>
    <x v="78"/>
    <x v="78"/>
    <x v="0"/>
    <x v="0"/>
  </r>
  <r>
    <x v="79"/>
    <x v="8"/>
    <x v="3"/>
    <x v="79"/>
    <x v="79"/>
    <x v="0"/>
    <x v="0"/>
  </r>
  <r>
    <x v="80"/>
    <x v="9"/>
    <x v="7"/>
    <x v="80"/>
    <x v="80"/>
    <x v="0"/>
    <x v="0"/>
  </r>
  <r>
    <x v="81"/>
    <x v="20"/>
    <x v="17"/>
    <x v="81"/>
    <x v="81"/>
    <x v="0"/>
    <x v="0"/>
  </r>
  <r>
    <x v="82"/>
    <x v="8"/>
    <x v="8"/>
    <x v="82"/>
    <x v="82"/>
    <x v="0"/>
    <x v="0"/>
  </r>
  <r>
    <x v="83"/>
    <x v="22"/>
    <x v="5"/>
    <x v="83"/>
    <x v="83"/>
    <x v="0"/>
    <x v="0"/>
  </r>
  <r>
    <x v="84"/>
    <x v="14"/>
    <x v="11"/>
    <x v="84"/>
    <x v="84"/>
    <x v="0"/>
    <x v="0"/>
  </r>
  <r>
    <x v="85"/>
    <x v="21"/>
    <x v="15"/>
    <x v="85"/>
    <x v="85"/>
    <x v="0"/>
    <x v="0"/>
  </r>
  <r>
    <x v="86"/>
    <x v="8"/>
    <x v="3"/>
    <x v="86"/>
    <x v="86"/>
    <x v="0"/>
    <x v="0"/>
  </r>
  <r>
    <x v="87"/>
    <x v="11"/>
    <x v="0"/>
    <x v="87"/>
    <x v="87"/>
    <x v="0"/>
    <x v="0"/>
  </r>
  <r>
    <x v="87"/>
    <x v="11"/>
    <x v="0"/>
    <x v="87"/>
    <x v="87"/>
    <x v="0"/>
    <x v="0"/>
  </r>
  <r>
    <x v="88"/>
    <x v="20"/>
    <x v="8"/>
    <x v="88"/>
    <x v="88"/>
    <x v="0"/>
    <x v="0"/>
  </r>
  <r>
    <x v="89"/>
    <x v="25"/>
    <x v="2"/>
    <x v="89"/>
    <x v="89"/>
    <x v="0"/>
    <x v="0"/>
  </r>
  <r>
    <x v="90"/>
    <x v="8"/>
    <x v="8"/>
    <x v="90"/>
    <x v="90"/>
    <x v="0"/>
    <x v="0"/>
  </r>
  <r>
    <x v="91"/>
    <x v="6"/>
    <x v="6"/>
    <x v="91"/>
    <x v="91"/>
    <x v="0"/>
    <x v="0"/>
  </r>
  <r>
    <x v="92"/>
    <x v="14"/>
    <x v="11"/>
    <x v="92"/>
    <x v="92"/>
    <x v="0"/>
    <x v="0"/>
  </r>
  <r>
    <x v="93"/>
    <x v="32"/>
    <x v="7"/>
    <x v="93"/>
    <x v="93"/>
    <x v="0"/>
    <x v="0"/>
  </r>
  <r>
    <x v="94"/>
    <x v="33"/>
    <x v="1"/>
    <x v="94"/>
    <x v="94"/>
    <x v="0"/>
    <x v="0"/>
  </r>
  <r>
    <x v="95"/>
    <x v="21"/>
    <x v="15"/>
    <x v="95"/>
    <x v="95"/>
    <x v="0"/>
    <x v="0"/>
  </r>
  <r>
    <x v="96"/>
    <x v="1"/>
    <x v="1"/>
    <x v="96"/>
    <x v="96"/>
    <x v="1"/>
    <x v="0"/>
  </r>
  <r>
    <x v="97"/>
    <x v="4"/>
    <x v="7"/>
    <x v="97"/>
    <x v="97"/>
    <x v="0"/>
    <x v="0"/>
  </r>
  <r>
    <x v="98"/>
    <x v="34"/>
    <x v="12"/>
    <x v="98"/>
    <x v="98"/>
    <x v="0"/>
    <x v="0"/>
  </r>
  <r>
    <x v="99"/>
    <x v="35"/>
    <x v="0"/>
    <x v="99"/>
    <x v="99"/>
    <x v="0"/>
    <x v="0"/>
  </r>
  <r>
    <x v="100"/>
    <x v="19"/>
    <x v="9"/>
    <x v="100"/>
    <x v="100"/>
    <x v="0"/>
    <x v="0"/>
  </r>
  <r>
    <x v="101"/>
    <x v="9"/>
    <x v="12"/>
    <x v="101"/>
    <x v="101"/>
    <x v="0"/>
    <x v="0"/>
  </r>
  <r>
    <x v="102"/>
    <x v="11"/>
    <x v="0"/>
    <x v="102"/>
    <x v="102"/>
    <x v="0"/>
    <x v="0"/>
  </r>
  <r>
    <x v="103"/>
    <x v="14"/>
    <x v="11"/>
    <x v="103"/>
    <x v="103"/>
    <x v="0"/>
    <x v="0"/>
  </r>
  <r>
    <x v="104"/>
    <x v="8"/>
    <x v="3"/>
    <x v="104"/>
    <x v="104"/>
    <x v="0"/>
    <x v="0"/>
  </r>
  <r>
    <x v="105"/>
    <x v="4"/>
    <x v="7"/>
    <x v="105"/>
    <x v="105"/>
    <x v="0"/>
    <x v="0"/>
  </r>
  <r>
    <x v="106"/>
    <x v="8"/>
    <x v="9"/>
    <x v="106"/>
    <x v="106"/>
    <x v="0"/>
    <x v="0"/>
  </r>
  <r>
    <x v="107"/>
    <x v="2"/>
    <x v="2"/>
    <x v="107"/>
    <x v="107"/>
    <x v="0"/>
    <x v="0"/>
  </r>
  <r>
    <x v="108"/>
    <x v="8"/>
    <x v="3"/>
    <x v="108"/>
    <x v="108"/>
    <x v="0"/>
    <x v="0"/>
  </r>
  <r>
    <x v="109"/>
    <x v="35"/>
    <x v="0"/>
    <x v="109"/>
    <x v="109"/>
    <x v="0"/>
    <x v="0"/>
  </r>
  <r>
    <x v="110"/>
    <x v="6"/>
    <x v="6"/>
    <x v="110"/>
    <x v="110"/>
    <x v="0"/>
    <x v="0"/>
  </r>
  <r>
    <x v="111"/>
    <x v="11"/>
    <x v="0"/>
    <x v="111"/>
    <x v="111"/>
    <x v="0"/>
    <x v="0"/>
  </r>
  <r>
    <x v="112"/>
    <x v="12"/>
    <x v="10"/>
    <x v="112"/>
    <x v="112"/>
    <x v="0"/>
    <x v="0"/>
  </r>
  <r>
    <x v="113"/>
    <x v="14"/>
    <x v="11"/>
    <x v="113"/>
    <x v="113"/>
    <x v="0"/>
    <x v="0"/>
  </r>
  <r>
    <x v="114"/>
    <x v="6"/>
    <x v="6"/>
    <x v="114"/>
    <x v="114"/>
    <x v="0"/>
    <x v="0"/>
  </r>
  <r>
    <x v="115"/>
    <x v="6"/>
    <x v="6"/>
    <x v="115"/>
    <x v="115"/>
    <x v="0"/>
    <x v="0"/>
  </r>
  <r>
    <x v="116"/>
    <x v="6"/>
    <x v="6"/>
    <x v="116"/>
    <x v="116"/>
    <x v="0"/>
    <x v="0"/>
  </r>
  <r>
    <x v="117"/>
    <x v="11"/>
    <x v="0"/>
    <x v="117"/>
    <x v="117"/>
    <x v="0"/>
    <x v="0"/>
  </r>
  <r>
    <x v="118"/>
    <x v="14"/>
    <x v="11"/>
    <x v="118"/>
    <x v="118"/>
    <x v="0"/>
    <x v="0"/>
  </r>
  <r>
    <x v="119"/>
    <x v="18"/>
    <x v="13"/>
    <x v="119"/>
    <x v="119"/>
    <x v="0"/>
    <x v="0"/>
  </r>
  <r>
    <x v="120"/>
    <x v="19"/>
    <x v="3"/>
    <x v="120"/>
    <x v="120"/>
    <x v="0"/>
    <x v="0"/>
  </r>
  <r>
    <x v="121"/>
    <x v="6"/>
    <x v="6"/>
    <x v="121"/>
    <x v="121"/>
    <x v="0"/>
    <x v="0"/>
  </r>
  <r>
    <x v="122"/>
    <x v="19"/>
    <x v="8"/>
    <x v="122"/>
    <x v="122"/>
    <x v="0"/>
    <x v="0"/>
  </r>
  <r>
    <x v="123"/>
    <x v="36"/>
    <x v="20"/>
    <x v="123"/>
    <x v="123"/>
    <x v="0"/>
    <x v="0"/>
  </r>
  <r>
    <x v="124"/>
    <x v="14"/>
    <x v="11"/>
    <x v="124"/>
    <x v="124"/>
    <x v="0"/>
    <x v="0"/>
  </r>
  <r>
    <x v="125"/>
    <x v="18"/>
    <x v="13"/>
    <x v="125"/>
    <x v="125"/>
    <x v="0"/>
    <x v="0"/>
  </r>
  <r>
    <x v="125"/>
    <x v="18"/>
    <x v="13"/>
    <x v="125"/>
    <x v="125"/>
    <x v="0"/>
    <x v="0"/>
  </r>
  <r>
    <x v="126"/>
    <x v="37"/>
    <x v="1"/>
    <x v="126"/>
    <x v="126"/>
    <x v="0"/>
    <x v="0"/>
  </r>
  <r>
    <x v="127"/>
    <x v="27"/>
    <x v="19"/>
    <x v="127"/>
    <x v="127"/>
    <x v="0"/>
    <x v="0"/>
  </r>
  <r>
    <x v="128"/>
    <x v="21"/>
    <x v="15"/>
    <x v="128"/>
    <x v="128"/>
    <x v="0"/>
    <x v="0"/>
  </r>
  <r>
    <x v="129"/>
    <x v="8"/>
    <x v="9"/>
    <x v="129"/>
    <x v="129"/>
    <x v="0"/>
    <x v="0"/>
  </r>
  <r>
    <x v="130"/>
    <x v="2"/>
    <x v="2"/>
    <x v="130"/>
    <x v="130"/>
    <x v="0"/>
    <x v="0"/>
  </r>
  <r>
    <x v="131"/>
    <x v="38"/>
    <x v="5"/>
    <x v="131"/>
    <x v="13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6E5218-69E3-400E-A6EC-F6BA9630B1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37" firstHeaderRow="1" firstDataRow="1" firstDataCol="7"/>
  <pivotFields count="7">
    <pivotField axis="axisRow" outline="0" showAll="0" defaultSubtota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127"/>
        <item x="34"/>
        <item x="35"/>
        <item x="36"/>
        <item x="37"/>
        <item x="38"/>
        <item x="39"/>
        <item m="1" x="132"/>
        <item x="40"/>
        <item x="41"/>
        <item x="42"/>
        <item x="43"/>
        <item x="44"/>
        <item x="45"/>
        <item x="46"/>
        <item x="47"/>
        <item x="48"/>
        <item x="49"/>
        <item x="50"/>
        <item x="51"/>
        <item x="52"/>
        <item x="53"/>
        <item x="54"/>
        <item x="55"/>
        <item x="56"/>
        <item x="57"/>
        <item x="58"/>
        <item x="59"/>
        <item x="128"/>
        <item x="60"/>
        <item x="61"/>
        <item x="62"/>
        <item x="63"/>
        <item x="64"/>
        <item x="65"/>
        <item x="66"/>
        <item x="67"/>
        <item x="68"/>
        <item x="69"/>
        <item x="70"/>
        <item x="71"/>
        <item x="72"/>
        <item x="73"/>
        <item x="74"/>
        <item x="75"/>
        <item x="129"/>
        <item x="76"/>
        <item x="126"/>
        <item x="77"/>
        <item x="78"/>
        <item x="79"/>
        <item x="80"/>
        <item x="81"/>
        <item x="82"/>
        <item x="83"/>
        <item x="123"/>
        <item x="130"/>
        <item x="85"/>
        <item x="84"/>
        <item x="124"/>
        <item x="86"/>
        <item x="87"/>
        <item x="88"/>
        <item x="131"/>
        <item x="89"/>
        <item x="90"/>
        <item x="91"/>
        <item x="92"/>
        <item x="93"/>
        <item x="94"/>
        <item x="95"/>
        <item x="97"/>
        <item x="96"/>
        <item x="98"/>
        <item x="99"/>
        <item x="100"/>
        <item x="101"/>
        <item x="125"/>
        <item x="102"/>
        <item x="103"/>
        <item x="104"/>
        <item x="105"/>
        <item x="106"/>
        <item x="107"/>
        <item x="108"/>
        <item x="109"/>
        <item x="110"/>
        <item x="111"/>
        <item x="112"/>
        <item x="113"/>
        <item x="114"/>
        <item x="115"/>
        <item x="116"/>
        <item x="117"/>
        <item x="118"/>
        <item x="119"/>
        <item x="120"/>
        <item x="121"/>
        <item x="122"/>
      </items>
    </pivotField>
    <pivotField axis="axisRow" outline="0" showAll="0" defaultSubtotal="0">
      <items count="39">
        <item x="25"/>
        <item x="17"/>
        <item x="8"/>
        <item x="20"/>
        <item x="19"/>
        <item x="12"/>
        <item x="3"/>
        <item x="36"/>
        <item x="27"/>
        <item x="4"/>
        <item x="10"/>
        <item x="11"/>
        <item x="35"/>
        <item x="16"/>
        <item x="15"/>
        <item x="0"/>
        <item x="22"/>
        <item x="5"/>
        <item x="38"/>
        <item x="14"/>
        <item x="30"/>
        <item x="18"/>
        <item x="13"/>
        <item x="7"/>
        <item x="37"/>
        <item x="1"/>
        <item x="21"/>
        <item x="28"/>
        <item x="23"/>
        <item x="26"/>
        <item x="31"/>
        <item x="29"/>
        <item x="32"/>
        <item x="24"/>
        <item x="9"/>
        <item x="2"/>
        <item x="34"/>
        <item x="6"/>
        <item x="33"/>
      </items>
    </pivotField>
    <pivotField axis="axisRow" outline="0" showAll="0" defaultSubtotal="0">
      <items count="22">
        <item m="1" x="21"/>
        <item x="20"/>
        <item x="7"/>
        <item x="14"/>
        <item x="13"/>
        <item x="1"/>
        <item x="15"/>
        <item x="3"/>
        <item x="5"/>
        <item x="11"/>
        <item x="12"/>
        <item x="2"/>
        <item x="18"/>
        <item x="16"/>
        <item x="8"/>
        <item x="0"/>
        <item x="10"/>
        <item x="9"/>
        <item x="6"/>
        <item x="17"/>
        <item x="19"/>
        <item x="4"/>
      </items>
    </pivotField>
    <pivotField axis="axisRow" outline="0" showAll="0" defaultSubtotal="0">
      <items count="133">
        <item x="56"/>
        <item x="127"/>
        <item x="76"/>
        <item x="27"/>
        <item x="103"/>
        <item x="23"/>
        <item x="7"/>
        <item x="82"/>
        <item x="92"/>
        <item x="98"/>
        <item x="118"/>
        <item x="108"/>
        <item x="42"/>
        <item x="48"/>
        <item x="34"/>
        <item x="53"/>
        <item x="18"/>
        <item x="38"/>
        <item x="62"/>
        <item x="67"/>
        <item x="74"/>
        <item x="89"/>
        <item x="116"/>
        <item x="122"/>
        <item x="0"/>
        <item x="11"/>
        <item x="57"/>
        <item x="128"/>
        <item x="77"/>
        <item x="28"/>
        <item x="104"/>
        <item x="24"/>
        <item x="8"/>
        <item x="83"/>
        <item x="93"/>
        <item x="99"/>
        <item x="119"/>
        <item x="109"/>
        <item x="43"/>
        <item x="49"/>
        <item x="35"/>
        <item x="54"/>
        <item x="20"/>
        <item m="1" x="132"/>
        <item x="64"/>
        <item x="69"/>
        <item x="75"/>
        <item x="90"/>
        <item x="112"/>
        <item x="123"/>
        <item x="1"/>
        <item x="12"/>
        <item x="58"/>
        <item x="129"/>
        <item x="78"/>
        <item x="29"/>
        <item x="105"/>
        <item x="25"/>
        <item x="9"/>
        <item x="84"/>
        <item x="94"/>
        <item x="100"/>
        <item x="120"/>
        <item x="110"/>
        <item x="44"/>
        <item x="50"/>
        <item x="36"/>
        <item x="55"/>
        <item x="21"/>
        <item x="40"/>
        <item x="65"/>
        <item x="70"/>
        <item x="71"/>
        <item x="86"/>
        <item x="113"/>
        <item x="124"/>
        <item x="2"/>
        <item x="13"/>
        <item x="59"/>
        <item x="130"/>
        <item x="79"/>
        <item x="30"/>
        <item x="106"/>
        <item x="26"/>
        <item x="10"/>
        <item x="85"/>
        <item x="95"/>
        <item x="101"/>
        <item x="121"/>
        <item x="111"/>
        <item x="45"/>
        <item x="46"/>
        <item x="32"/>
        <item x="51"/>
        <item x="17"/>
        <item x="37"/>
        <item x="61"/>
        <item x="66"/>
        <item x="73"/>
        <item x="88"/>
        <item x="115"/>
        <item x="126"/>
        <item x="4"/>
        <item x="14"/>
        <item x="60"/>
        <item x="131"/>
        <item x="80"/>
        <item x="31"/>
        <item x="102"/>
        <item x="22"/>
        <item x="6"/>
        <item x="81"/>
        <item x="91"/>
        <item x="97"/>
        <item x="117"/>
        <item x="107"/>
        <item x="41"/>
        <item x="47"/>
        <item x="33"/>
        <item x="52"/>
        <item x="19"/>
        <item x="39"/>
        <item x="63"/>
        <item x="68"/>
        <item x="72"/>
        <item x="87"/>
        <item x="114"/>
        <item x="125"/>
        <item x="3"/>
        <item x="15"/>
        <item x="5"/>
        <item x="16"/>
        <item x="96"/>
      </items>
    </pivotField>
    <pivotField axis="axisRow" outline="0" showAll="0" defaultSubtota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127"/>
        <item x="34"/>
        <item x="35"/>
        <item x="36"/>
        <item x="37"/>
        <item x="38"/>
        <item x="39"/>
        <item m="1" x="132"/>
        <item x="40"/>
        <item x="41"/>
        <item x="42"/>
        <item x="43"/>
        <item x="44"/>
        <item x="45"/>
        <item x="46"/>
        <item x="47"/>
        <item x="48"/>
        <item x="49"/>
        <item x="50"/>
        <item x="51"/>
        <item x="52"/>
        <item x="53"/>
        <item x="54"/>
        <item x="55"/>
        <item x="56"/>
        <item x="57"/>
        <item x="58"/>
        <item x="59"/>
        <item x="128"/>
        <item x="60"/>
        <item x="61"/>
        <item x="62"/>
        <item x="63"/>
        <item x="64"/>
        <item x="65"/>
        <item x="66"/>
        <item x="67"/>
        <item x="68"/>
        <item x="69"/>
        <item x="70"/>
        <item x="71"/>
        <item x="72"/>
        <item x="73"/>
        <item x="74"/>
        <item x="75"/>
        <item x="129"/>
        <item x="76"/>
        <item x="126"/>
        <item x="77"/>
        <item x="78"/>
        <item x="79"/>
        <item x="80"/>
        <item x="81"/>
        <item x="82"/>
        <item x="83"/>
        <item x="123"/>
        <item x="130"/>
        <item x="85"/>
        <item x="84"/>
        <item x="124"/>
        <item x="86"/>
        <item x="87"/>
        <item x="88"/>
        <item x="131"/>
        <item x="89"/>
        <item x="90"/>
        <item x="91"/>
        <item x="92"/>
        <item x="93"/>
        <item x="94"/>
        <item x="95"/>
        <item x="97"/>
        <item x="96"/>
        <item x="98"/>
        <item x="99"/>
        <item x="100"/>
        <item x="101"/>
        <item x="125"/>
        <item x="102"/>
        <item x="103"/>
        <item x="104"/>
        <item x="105"/>
        <item x="106"/>
        <item x="107"/>
        <item x="108"/>
        <item x="109"/>
        <item x="110"/>
        <item x="111"/>
        <item x="112"/>
        <item x="113"/>
        <item x="114"/>
        <item x="115"/>
        <item x="116"/>
        <item x="117"/>
        <item x="118"/>
        <item x="119"/>
        <item x="120"/>
        <item x="121"/>
        <item x="122"/>
      </items>
    </pivotField>
    <pivotField axis="axisRow" outline="0" showAll="0" defaultSubtotal="0">
      <items count="2">
        <item x="1"/>
        <item x="0"/>
      </items>
    </pivotField>
    <pivotField axis="axisRow" outline="0" showAll="0">
      <items count="3">
        <item x="0"/>
        <item x="1"/>
        <item t="default"/>
      </items>
    </pivotField>
  </pivotFields>
  <rowFields count="7">
    <field x="0"/>
    <field x="1"/>
    <field x="2"/>
    <field x="3"/>
    <field x="4"/>
    <field x="5"/>
    <field x="6"/>
  </rowFields>
  <rowItems count="134">
    <i>
      <x/>
      <x v="15"/>
      <x v="15"/>
      <x v="24"/>
      <x/>
      <x v="1"/>
      <x/>
    </i>
    <i>
      <x v="1"/>
      <x v="25"/>
      <x v="5"/>
      <x v="50"/>
      <x v="1"/>
      <x v="1"/>
      <x/>
    </i>
    <i>
      <x v="2"/>
      <x v="35"/>
      <x v="11"/>
      <x v="76"/>
      <x v="2"/>
      <x v="1"/>
      <x/>
    </i>
    <i>
      <x v="3"/>
      <x v="6"/>
      <x v="7"/>
      <x v="128"/>
      <x v="3"/>
      <x v="1"/>
      <x/>
    </i>
    <i>
      <x v="4"/>
      <x v="9"/>
      <x v="21"/>
      <x v="102"/>
      <x v="4"/>
      <x v="1"/>
      <x/>
    </i>
    <i>
      <x v="5"/>
      <x v="25"/>
      <x v="5"/>
      <x v="130"/>
      <x v="5"/>
      <x/>
      <x/>
    </i>
    <i>
      <x v="6"/>
      <x v="17"/>
      <x v="8"/>
      <x v="110"/>
      <x v="6"/>
      <x v="1"/>
      <x/>
    </i>
    <i>
      <x v="7"/>
      <x v="37"/>
      <x v="18"/>
      <x v="6"/>
      <x v="7"/>
      <x v="1"/>
      <x/>
    </i>
    <i>
      <x v="8"/>
      <x v="23"/>
      <x v="2"/>
      <x v="32"/>
      <x v="8"/>
      <x v="1"/>
      <x/>
    </i>
    <i>
      <x v="9"/>
      <x v="2"/>
      <x v="7"/>
      <x v="58"/>
      <x v="9"/>
      <x v="1"/>
      <x/>
    </i>
    <i>
      <x v="10"/>
      <x v="9"/>
      <x v="2"/>
      <x v="84"/>
      <x v="10"/>
      <x v="1"/>
      <x v="1"/>
    </i>
    <i>
      <x v="11"/>
      <x v="2"/>
      <x v="14"/>
      <x v="25"/>
      <x v="11"/>
      <x v="1"/>
      <x/>
    </i>
    <i>
      <x v="12"/>
      <x v="2"/>
      <x v="17"/>
      <x v="51"/>
      <x v="12"/>
      <x v="1"/>
      <x/>
    </i>
    <i>
      <x v="13"/>
      <x v="34"/>
      <x v="2"/>
      <x v="77"/>
      <x v="13"/>
      <x v="1"/>
      <x/>
    </i>
    <i>
      <x v="14"/>
      <x v="10"/>
      <x v="2"/>
      <x v="103"/>
      <x v="14"/>
      <x v="1"/>
      <x/>
    </i>
    <i>
      <x v="15"/>
      <x v="11"/>
      <x v="15"/>
      <x v="129"/>
      <x v="15"/>
      <x v="1"/>
      <x/>
    </i>
    <i>
      <x v="16"/>
      <x v="25"/>
      <x v="5"/>
      <x v="131"/>
      <x v="16"/>
      <x/>
      <x/>
    </i>
    <i>
      <x v="17"/>
      <x v="5"/>
      <x v="16"/>
      <x v="94"/>
      <x v="17"/>
      <x v="1"/>
      <x/>
    </i>
    <i>
      <x v="18"/>
      <x v="22"/>
      <x v="21"/>
      <x v="16"/>
      <x v="18"/>
      <x v="1"/>
      <x/>
    </i>
    <i>
      <x v="19"/>
      <x v="19"/>
      <x v="9"/>
      <x v="120"/>
      <x v="19"/>
      <x v="1"/>
      <x/>
    </i>
    <i>
      <x v="20"/>
      <x v="14"/>
      <x v="15"/>
      <x v="42"/>
      <x v="20"/>
      <x v="1"/>
      <x/>
    </i>
    <i>
      <x v="21"/>
      <x v="13"/>
      <x v="15"/>
      <x v="68"/>
      <x v="21"/>
      <x v="1"/>
      <x/>
    </i>
    <i>
      <x v="22"/>
      <x v="34"/>
      <x v="10"/>
      <x v="109"/>
      <x v="22"/>
      <x v="1"/>
      <x/>
    </i>
    <i>
      <x v="23"/>
      <x v="2"/>
      <x v="7"/>
      <x v="5"/>
      <x v="23"/>
      <x v="1"/>
      <x/>
    </i>
    <i>
      <x v="24"/>
      <x v="35"/>
      <x v="11"/>
      <x v="31"/>
      <x v="24"/>
      <x v="1"/>
      <x/>
    </i>
    <i>
      <x v="25"/>
      <x v="37"/>
      <x v="18"/>
      <x v="57"/>
      <x v="25"/>
      <x v="1"/>
      <x/>
    </i>
    <i>
      <x v="26"/>
      <x v="2"/>
      <x v="7"/>
      <x v="83"/>
      <x v="26"/>
      <x v="1"/>
      <x/>
    </i>
    <i>
      <x v="27"/>
      <x v="1"/>
      <x v="11"/>
      <x v="3"/>
      <x v="27"/>
      <x v="1"/>
      <x/>
    </i>
    <i>
      <x v="28"/>
      <x v="9"/>
      <x v="21"/>
      <x v="29"/>
      <x v="28"/>
      <x v="1"/>
      <x/>
    </i>
    <i>
      <x v="29"/>
      <x v="2"/>
      <x v="17"/>
      <x v="55"/>
      <x v="29"/>
      <x v="1"/>
      <x/>
    </i>
    <i>
      <x v="30"/>
      <x v="21"/>
      <x v="4"/>
      <x v="81"/>
      <x v="30"/>
      <x v="1"/>
      <x/>
    </i>
    <i>
      <x v="31"/>
      <x v="9"/>
      <x v="2"/>
      <x v="107"/>
      <x v="31"/>
      <x v="1"/>
      <x/>
    </i>
    <i>
      <x v="32"/>
      <x v="4"/>
      <x v="3"/>
      <x v="92"/>
      <x v="32"/>
      <x v="1"/>
      <x/>
    </i>
    <i>
      <x v="33"/>
      <x v="3"/>
      <x v="17"/>
      <x v="118"/>
      <x v="33"/>
      <x v="1"/>
      <x v="1"/>
    </i>
    <i>
      <x v="34"/>
      <x v="8"/>
      <x v="20"/>
      <x v="1"/>
      <x v="34"/>
      <x v="1"/>
      <x/>
    </i>
    <i>
      <x v="35"/>
      <x v="37"/>
      <x v="18"/>
      <x v="14"/>
      <x v="35"/>
      <x v="1"/>
      <x/>
    </i>
    <i>
      <x v="36"/>
      <x v="37"/>
      <x v="18"/>
      <x v="40"/>
      <x v="36"/>
      <x v="1"/>
      <x/>
    </i>
    <i>
      <x v="37"/>
      <x v="26"/>
      <x v="6"/>
      <x v="66"/>
      <x v="37"/>
      <x v="1"/>
      <x/>
    </i>
    <i>
      <x v="38"/>
      <x v="16"/>
      <x v="8"/>
      <x v="95"/>
      <x v="38"/>
      <x v="1"/>
      <x/>
    </i>
    <i>
      <x v="39"/>
      <x v="11"/>
      <x v="15"/>
      <x v="17"/>
      <x v="39"/>
      <x v="1"/>
      <x/>
    </i>
    <i>
      <x v="40"/>
      <x v="23"/>
      <x v="2"/>
      <x v="121"/>
      <x v="40"/>
      <x v="1"/>
      <x/>
    </i>
    <i>
      <x v="42"/>
      <x v="11"/>
      <x v="15"/>
      <x v="69"/>
      <x v="42"/>
      <x v="1"/>
      <x/>
    </i>
    <i>
      <x v="43"/>
      <x v="28"/>
      <x v="6"/>
      <x v="116"/>
      <x v="43"/>
      <x v="1"/>
      <x/>
    </i>
    <i>
      <x v="44"/>
      <x v="37"/>
      <x v="18"/>
      <x v="12"/>
      <x v="44"/>
      <x v="1"/>
      <x/>
    </i>
    <i>
      <x v="45"/>
      <x v="33"/>
      <x v="13"/>
      <x v="38"/>
      <x v="45"/>
      <x v="1"/>
      <x/>
    </i>
    <i>
      <x v="46"/>
      <x v="4"/>
      <x v="3"/>
      <x v="64"/>
      <x v="46"/>
      <x v="1"/>
      <x/>
    </i>
    <i>
      <x v="47"/>
      <x v="26"/>
      <x v="6"/>
      <x v="90"/>
      <x v="47"/>
      <x v="1"/>
      <x v="1"/>
    </i>
    <i>
      <x v="48"/>
      <x/>
      <x v="11"/>
      <x v="91"/>
      <x v="48"/>
      <x v="1"/>
      <x/>
    </i>
    <i>
      <x v="49"/>
      <x v="2"/>
      <x v="17"/>
      <x v="117"/>
      <x v="49"/>
      <x v="1"/>
      <x/>
    </i>
    <i>
      <x v="50"/>
      <x v="25"/>
      <x v="5"/>
      <x v="13"/>
      <x v="50"/>
      <x v="1"/>
      <x/>
    </i>
    <i>
      <x v="51"/>
      <x v="4"/>
      <x v="19"/>
      <x v="39"/>
      <x v="51"/>
      <x v="1"/>
      <x/>
    </i>
    <i>
      <x v="52"/>
      <x v="4"/>
      <x v="14"/>
      <x v="65"/>
      <x v="52"/>
      <x v="1"/>
      <x/>
    </i>
    <i>
      <x v="53"/>
      <x v="2"/>
      <x v="17"/>
      <x v="93"/>
      <x v="53"/>
      <x v="1"/>
      <x/>
    </i>
    <i>
      <x v="54"/>
      <x v="2"/>
      <x v="14"/>
      <x v="119"/>
      <x v="54"/>
      <x v="1"/>
      <x/>
    </i>
    <i>
      <x v="55"/>
      <x v="2"/>
      <x v="7"/>
      <x v="15"/>
      <x v="55"/>
      <x v="1"/>
      <x/>
    </i>
    <i>
      <x v="56"/>
      <x v="29"/>
      <x v="12"/>
      <x v="41"/>
      <x v="56"/>
      <x v="1"/>
      <x/>
    </i>
    <i>
      <x v="57"/>
      <x v="1"/>
      <x v="20"/>
      <x v="67"/>
      <x v="57"/>
      <x v="1"/>
      <x/>
    </i>
    <i>
      <x v="58"/>
      <x v="34"/>
      <x v="10"/>
      <x/>
      <x v="58"/>
      <x v="1"/>
      <x/>
    </i>
    <i>
      <x v="59"/>
      <x v="2"/>
      <x v="14"/>
      <x v="26"/>
      <x v="59"/>
      <x v="1"/>
      <x v="1"/>
    </i>
    <i>
      <x v="60"/>
      <x v="21"/>
      <x v="4"/>
      <x v="52"/>
      <x v="60"/>
      <x v="1"/>
      <x/>
    </i>
    <i>
      <x v="61"/>
      <x v="2"/>
      <x v="16"/>
      <x v="78"/>
      <x v="61"/>
      <x v="1"/>
      <x/>
    </i>
    <i>
      <x v="62"/>
      <x v="26"/>
      <x v="6"/>
      <x v="27"/>
      <x v="62"/>
      <x v="1"/>
      <x/>
    </i>
    <i>
      <x v="63"/>
      <x v="9"/>
      <x v="2"/>
      <x v="104"/>
      <x v="63"/>
      <x v="1"/>
      <x/>
    </i>
    <i>
      <x v="64"/>
      <x v="22"/>
      <x v="4"/>
      <x v="96"/>
      <x v="64"/>
      <x v="1"/>
      <x/>
    </i>
    <i>
      <x v="65"/>
      <x v="9"/>
      <x v="2"/>
      <x v="18"/>
      <x v="65"/>
      <x v="1"/>
      <x/>
    </i>
    <i>
      <x v="66"/>
      <x v="8"/>
      <x v="10"/>
      <x v="122"/>
      <x v="66"/>
      <x v="1"/>
      <x/>
    </i>
    <i>
      <x v="67"/>
      <x v="35"/>
      <x v="11"/>
      <x v="44"/>
      <x v="67"/>
      <x v="1"/>
      <x/>
    </i>
    <i>
      <x v="68"/>
      <x v="37"/>
      <x v="18"/>
      <x v="70"/>
      <x v="68"/>
      <x v="1"/>
      <x/>
    </i>
    <i>
      <x v="69"/>
      <x v="27"/>
      <x v="6"/>
      <x v="97"/>
      <x v="69"/>
      <x v="1"/>
      <x/>
    </i>
    <i>
      <x v="70"/>
      <x v="31"/>
      <x v="3"/>
      <x v="19"/>
      <x v="70"/>
      <x v="1"/>
      <x/>
    </i>
    <i>
      <x v="71"/>
      <x v="20"/>
      <x v="9"/>
      <x v="123"/>
      <x v="71"/>
      <x v="1"/>
      <x/>
    </i>
    <i>
      <x v="72"/>
      <x v="30"/>
      <x v="12"/>
      <x v="45"/>
      <x v="72"/>
      <x v="1"/>
      <x/>
    </i>
    <i>
      <x v="73"/>
      <x v="11"/>
      <x v="15"/>
      <x v="71"/>
      <x v="73"/>
      <x v="1"/>
      <x/>
    </i>
    <i>
      <x v="74"/>
      <x v="2"/>
      <x v="17"/>
      <x v="72"/>
      <x v="74"/>
      <x v="1"/>
      <x/>
    </i>
    <i>
      <x v="75"/>
      <x v="21"/>
      <x v="4"/>
      <x v="124"/>
      <x v="75"/>
      <x v="1"/>
      <x/>
    </i>
    <i r="2">
      <x v="10"/>
      <x v="124"/>
      <x v="75"/>
      <x v="1"/>
      <x/>
    </i>
    <i>
      <x v="76"/>
      <x v="2"/>
      <x v="17"/>
      <x v="98"/>
      <x v="76"/>
      <x v="1"/>
      <x/>
    </i>
    <i>
      <x v="77"/>
      <x v="37"/>
      <x v="18"/>
      <x v="20"/>
      <x v="77"/>
      <x v="1"/>
      <x/>
    </i>
    <i>
      <x v="78"/>
      <x v="2"/>
      <x v="14"/>
      <x v="46"/>
      <x v="78"/>
      <x v="1"/>
      <x/>
    </i>
    <i>
      <x v="79"/>
      <x v="2"/>
      <x v="17"/>
      <x v="53"/>
      <x v="79"/>
      <x v="1"/>
      <x/>
    </i>
    <i>
      <x v="80"/>
      <x v="2"/>
      <x v="7"/>
      <x v="2"/>
      <x v="80"/>
      <x v="1"/>
      <x/>
    </i>
    <i>
      <x v="81"/>
      <x v="24"/>
      <x v="5"/>
      <x v="101"/>
      <x v="81"/>
      <x v="1"/>
      <x/>
    </i>
    <i>
      <x v="82"/>
      <x v="21"/>
      <x v="4"/>
      <x v="28"/>
      <x v="82"/>
      <x v="1"/>
      <x/>
    </i>
    <i>
      <x v="83"/>
      <x v="25"/>
      <x v="5"/>
      <x v="54"/>
      <x v="83"/>
      <x v="1"/>
      <x/>
    </i>
    <i>
      <x v="84"/>
      <x v="2"/>
      <x v="7"/>
      <x v="80"/>
      <x v="84"/>
      <x v="1"/>
      <x/>
    </i>
    <i>
      <x v="85"/>
      <x v="34"/>
      <x v="2"/>
      <x v="106"/>
      <x v="85"/>
      <x v="1"/>
      <x/>
    </i>
    <i>
      <x v="86"/>
      <x v="3"/>
      <x v="19"/>
      <x v="111"/>
      <x v="86"/>
      <x v="1"/>
      <x/>
    </i>
    <i>
      <x v="87"/>
      <x v="2"/>
      <x v="14"/>
      <x v="7"/>
      <x v="87"/>
      <x v="1"/>
      <x/>
    </i>
    <i>
      <x v="88"/>
      <x v="16"/>
      <x v="8"/>
      <x v="33"/>
      <x v="88"/>
      <x v="1"/>
      <x/>
    </i>
    <i>
      <x v="89"/>
      <x v="7"/>
      <x v="1"/>
      <x v="49"/>
      <x v="89"/>
      <x v="1"/>
      <x/>
    </i>
    <i>
      <x v="90"/>
      <x v="35"/>
      <x v="11"/>
      <x v="79"/>
      <x v="90"/>
      <x v="1"/>
      <x/>
    </i>
    <i>
      <x v="91"/>
      <x v="26"/>
      <x v="6"/>
      <x v="85"/>
      <x v="91"/>
      <x v="1"/>
      <x/>
    </i>
    <i>
      <x v="92"/>
      <x v="19"/>
      <x v="9"/>
      <x v="59"/>
      <x v="92"/>
      <x v="1"/>
      <x/>
    </i>
    <i>
      <x v="93"/>
      <x v="19"/>
      <x v="9"/>
      <x v="75"/>
      <x v="93"/>
      <x v="1"/>
      <x/>
    </i>
    <i>
      <x v="94"/>
      <x v="2"/>
      <x v="7"/>
      <x v="73"/>
      <x v="94"/>
      <x v="1"/>
      <x/>
    </i>
    <i>
      <x v="95"/>
      <x v="11"/>
      <x v="15"/>
      <x v="125"/>
      <x v="95"/>
      <x v="1"/>
      <x/>
    </i>
    <i>
      <x v="96"/>
      <x v="3"/>
      <x v="14"/>
      <x v="99"/>
      <x v="96"/>
      <x v="1"/>
      <x/>
    </i>
    <i>
      <x v="97"/>
      <x v="18"/>
      <x v="8"/>
      <x v="105"/>
      <x v="97"/>
      <x v="1"/>
      <x/>
    </i>
    <i>
      <x v="98"/>
      <x/>
      <x v="11"/>
      <x v="21"/>
      <x v="98"/>
      <x v="1"/>
      <x/>
    </i>
    <i>
      <x v="99"/>
      <x v="2"/>
      <x v="14"/>
      <x v="47"/>
      <x v="99"/>
      <x v="1"/>
      <x/>
    </i>
    <i>
      <x v="100"/>
      <x v="37"/>
      <x v="18"/>
      <x v="112"/>
      <x v="100"/>
      <x v="1"/>
      <x/>
    </i>
    <i>
      <x v="101"/>
      <x v="19"/>
      <x v="9"/>
      <x v="8"/>
      <x v="101"/>
      <x v="1"/>
      <x/>
    </i>
    <i>
      <x v="102"/>
      <x v="32"/>
      <x v="2"/>
      <x v="34"/>
      <x v="102"/>
      <x v="1"/>
      <x/>
    </i>
    <i>
      <x v="103"/>
      <x v="38"/>
      <x v="5"/>
      <x v="60"/>
      <x v="103"/>
      <x v="1"/>
      <x/>
    </i>
    <i>
      <x v="104"/>
      <x v="26"/>
      <x v="6"/>
      <x v="86"/>
      <x v="104"/>
      <x v="1"/>
      <x/>
    </i>
    <i>
      <x v="105"/>
      <x v="9"/>
      <x v="2"/>
      <x v="113"/>
      <x v="105"/>
      <x v="1"/>
      <x/>
    </i>
    <i>
      <x v="106"/>
      <x v="25"/>
      <x v="5"/>
      <x v="132"/>
      <x v="106"/>
      <x/>
      <x/>
    </i>
    <i>
      <x v="107"/>
      <x v="36"/>
      <x v="10"/>
      <x v="9"/>
      <x v="107"/>
      <x v="1"/>
      <x/>
    </i>
    <i>
      <x v="108"/>
      <x v="12"/>
      <x v="15"/>
      <x v="35"/>
      <x v="108"/>
      <x v="1"/>
      <x/>
    </i>
    <i>
      <x v="109"/>
      <x v="4"/>
      <x v="17"/>
      <x v="61"/>
      <x v="109"/>
      <x v="1"/>
      <x/>
    </i>
    <i>
      <x v="110"/>
      <x v="34"/>
      <x v="10"/>
      <x v="87"/>
      <x v="110"/>
      <x v="1"/>
      <x/>
    </i>
    <i>
      <x v="111"/>
      <x v="21"/>
      <x v="4"/>
      <x v="127"/>
      <x v="111"/>
      <x v="1"/>
      <x/>
    </i>
    <i>
      <x v="112"/>
      <x v="11"/>
      <x v="15"/>
      <x v="108"/>
      <x v="112"/>
      <x v="1"/>
      <x/>
    </i>
    <i>
      <x v="113"/>
      <x v="19"/>
      <x v="9"/>
      <x v="4"/>
      <x v="113"/>
      <x v="1"/>
      <x/>
    </i>
    <i>
      <x v="114"/>
      <x v="2"/>
      <x v="7"/>
      <x v="30"/>
      <x v="114"/>
      <x v="1"/>
      <x/>
    </i>
    <i>
      <x v="115"/>
      <x v="9"/>
      <x v="2"/>
      <x v="56"/>
      <x v="115"/>
      <x v="1"/>
      <x/>
    </i>
    <i>
      <x v="116"/>
      <x v="2"/>
      <x v="17"/>
      <x v="82"/>
      <x v="116"/>
      <x v="1"/>
      <x/>
    </i>
    <i>
      <x v="117"/>
      <x v="35"/>
      <x v="11"/>
      <x v="115"/>
      <x v="117"/>
      <x v="1"/>
      <x/>
    </i>
    <i>
      <x v="118"/>
      <x v="2"/>
      <x v="7"/>
      <x v="11"/>
      <x v="118"/>
      <x v="1"/>
      <x/>
    </i>
    <i>
      <x v="119"/>
      <x v="12"/>
      <x v="15"/>
      <x v="37"/>
      <x v="119"/>
      <x v="1"/>
      <x/>
    </i>
    <i>
      <x v="120"/>
      <x v="37"/>
      <x v="18"/>
      <x v="63"/>
      <x v="120"/>
      <x v="1"/>
      <x/>
    </i>
    <i>
      <x v="121"/>
      <x v="11"/>
      <x v="15"/>
      <x v="89"/>
      <x v="121"/>
      <x v="1"/>
      <x/>
    </i>
    <i>
      <x v="122"/>
      <x v="5"/>
      <x v="16"/>
      <x v="48"/>
      <x v="122"/>
      <x v="1"/>
      <x/>
    </i>
    <i>
      <x v="123"/>
      <x v="19"/>
      <x v="9"/>
      <x v="74"/>
      <x v="123"/>
      <x v="1"/>
      <x/>
    </i>
    <i>
      <x v="124"/>
      <x v="37"/>
      <x v="18"/>
      <x v="126"/>
      <x v="124"/>
      <x v="1"/>
      <x/>
    </i>
    <i>
      <x v="125"/>
      <x v="37"/>
      <x v="18"/>
      <x v="100"/>
      <x v="125"/>
      <x v="1"/>
      <x/>
    </i>
    <i>
      <x v="126"/>
      <x v="37"/>
      <x v="18"/>
      <x v="22"/>
      <x v="126"/>
      <x v="1"/>
      <x/>
    </i>
    <i>
      <x v="127"/>
      <x v="11"/>
      <x v="15"/>
      <x v="114"/>
      <x v="127"/>
      <x v="1"/>
      <x/>
    </i>
    <i>
      <x v="128"/>
      <x v="19"/>
      <x v="9"/>
      <x v="10"/>
      <x v="128"/>
      <x v="1"/>
      <x/>
    </i>
    <i>
      <x v="129"/>
      <x v="21"/>
      <x v="4"/>
      <x v="36"/>
      <x v="129"/>
      <x v="1"/>
      <x/>
    </i>
    <i>
      <x v="130"/>
      <x v="4"/>
      <x v="7"/>
      <x v="62"/>
      <x v="130"/>
      <x v="1"/>
      <x/>
    </i>
    <i>
      <x v="131"/>
      <x v="37"/>
      <x v="18"/>
      <x v="88"/>
      <x v="131"/>
      <x v="1"/>
      <x/>
    </i>
    <i>
      <x v="132"/>
      <x v="4"/>
      <x v="14"/>
      <x v="23"/>
      <x v="132"/>
      <x v="1"/>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0E4A2EA5-2580-4223-9D2E-2990638D8075}" sourceName="Team">
  <pivotTables>
    <pivotTable tabId="6" name="PivotTable1"/>
  </pivotTables>
  <data>
    <tabular pivotCacheId="532764307">
      <items count="22">
        <i x="20" s="1"/>
        <i x="7" s="1"/>
        <i x="14" s="1"/>
        <i x="13" s="1"/>
        <i x="1" s="1"/>
        <i x="15" s="1"/>
        <i x="3" s="1"/>
        <i x="5" s="1"/>
        <i x="11" s="1"/>
        <i x="12" s="1"/>
        <i x="2" s="1"/>
        <i x="18" s="1"/>
        <i x="16" s="1"/>
        <i x="8" s="1"/>
        <i x="0" s="1"/>
        <i x="10" s="1"/>
        <i x="9" s="1"/>
        <i x="6" s="1"/>
        <i x="17" s="1"/>
        <i x="19" s="1"/>
        <i x="4" s="1"/>
        <i x="2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27009903-03CA-4CFC-AD3D-BD7BCE006A16}" cache="Slicer_Team" caption="Team" startItem="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EFB407-EFE7-455E-A8D0-F33EAA9C6E2D}" name="PartnerDirectory" displayName="PartnerDirectory" ref="A1:G136" totalsRowShown="0" headerRowDxfId="44" dataDxfId="42" headerRowBorderDxfId="43" tableBorderDxfId="41" totalsRowBorderDxfId="40">
  <autoFilter ref="A1:G136" xr:uid="{74EFB407-EFE7-455E-A8D0-F33EAA9C6E2D}"/>
  <sortState xmlns:xlrd2="http://schemas.microsoft.com/office/spreadsheetml/2017/richdata2" ref="A2:F136">
    <sortCondition ref="A1:A136"/>
  </sortState>
  <tableColumns count="7">
    <tableColumn id="1" xr3:uid="{7FA66A2C-9A48-45D4-826A-3FCF58A035B8}" name="Full name" dataDxfId="39"/>
    <tableColumn id="2" xr3:uid="{63FD9F91-909E-4F7A-88E4-B01EFED13A51}" name="Role" dataDxfId="38"/>
    <tableColumn id="3" xr3:uid="{12BC179F-9560-491F-939B-5E81AFD008AF}" name="Team" dataDxfId="37"/>
    <tableColumn id="4" xr3:uid="{E6BF5380-B1D2-48D1-A1BF-98DE51B99C9F}" name="Partner ID" dataDxfId="36"/>
    <tableColumn id="5" xr3:uid="{EE73C124-304A-4DFA-8C9B-50AD400B7101}" name="Email Address" dataDxfId="35"/>
    <tableColumn id="6" xr3:uid="{F06367A3-62F1-475B-9B78-27DA705CC281}" name="Employment" dataDxfId="34"/>
    <tableColumn id="7" xr3:uid="{0074A0D5-999B-4689-84B7-EB3CE2957320}" name="Status" dataDxfId="3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45C0C2-7717-4C16-808D-FDFFEB0C0BA0}" name="ProjectList" displayName="ProjectList" ref="A1:E23" totalsRowShown="0" headerRowDxfId="32" dataDxfId="30" headerRowBorderDxfId="31" tableBorderDxfId="29" totalsRowBorderDxfId="28">
  <autoFilter ref="A1:E23" xr:uid="{8745C0C2-7717-4C16-808D-FDFFEB0C0BA0}"/>
  <tableColumns count="5">
    <tableColumn id="1" xr3:uid="{B34AAAA1-5325-43A7-92CF-34BA17BD6BD2}" name="Project Name" dataDxfId="27"/>
    <tableColumn id="2" xr3:uid="{AF42E9F6-7803-4B0C-977E-17ABD5FB8A5C}" name="Project Number" dataDxfId="26"/>
    <tableColumn id="3" xr3:uid="{9DCE9DD0-752F-416F-9D8B-B0FB6274F1F1}" name="Status" dataDxfId="25"/>
    <tableColumn id="4" xr3:uid="{883595A7-A717-4971-875F-89FCE50D0DF6}" name="Notes" dataDxfId="24"/>
    <tableColumn id="5" xr3:uid="{F1DD1BD2-19E4-4428-9501-C5A768858981}" name="Project Manager" dataDxfId="23"/>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A9FFD5-A9DE-4C02-9667-EDEFC8269D5F}" name="ProjectTaskCodes" displayName="ProjectTaskCodes" ref="B3:C14" totalsRowShown="0" headerRowDxfId="22" dataDxfId="20" headerRowBorderDxfId="21" tableBorderDxfId="19" totalsRowBorderDxfId="18">
  <autoFilter ref="B3:C14" xr:uid="{6CA9FFD5-A9DE-4C02-9667-EDEFC8269D5F}"/>
  <tableColumns count="2">
    <tableColumn id="1" xr3:uid="{F1D744A1-3F4B-48BC-A5B0-0D75464E12DF}" name="Project Task Code" dataDxfId="17"/>
    <tableColumn id="2" xr3:uid="{FE1B7410-084A-4275-9922-97B568AD82E0}" name="Description" dataDxfId="16"/>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D3BCFE-8DF0-4774-89A3-F3B85B0484B3}" name="NonProjectCodes" displayName="NonProjectCodes" ref="A19:C28" totalsRowShown="0" headerRowDxfId="15" dataDxfId="13" headerRowBorderDxfId="14" tableBorderDxfId="12" totalsRowBorderDxfId="11">
  <autoFilter ref="A19:C28" xr:uid="{3CD3BCFE-8DF0-4774-89A3-F3B85B0484B3}"/>
  <tableColumns count="3">
    <tableColumn id="1" xr3:uid="{CF732036-B9FB-464B-8803-D9EC9600FE59}" name="Group" dataDxfId="10"/>
    <tableColumn id="2" xr3:uid="{2D1D03F6-500B-4777-BF27-EABC07F6B73B}" name="Work Code" dataDxfId="9"/>
    <tableColumn id="3" xr3:uid="{F3B957D7-2663-4303-A0B6-6CC58A606020}" name="Description" dataDxfId="8"/>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A89654-8510-403C-8C72-97BA57E7046F}" name="ExpenseClassification" displayName="ExpenseClassification" ref="A3:C14" totalsRowShown="0" headerRowDxfId="7" dataDxfId="5" headerRowBorderDxfId="6" tableBorderDxfId="4" totalsRowBorderDxfId="3">
  <autoFilter ref="A3:C14" xr:uid="{A6A89654-8510-403C-8C72-97BA57E7046F}"/>
  <tableColumns count="3">
    <tableColumn id="1" xr3:uid="{AD3AB669-06D6-4816-B38F-E6831373F939}" name="Project Task Code" dataDxfId="2"/>
    <tableColumn id="2" xr3:uid="{DA26054F-D462-4A84-B054-72C7676FD719}" name="Classification" dataDxfId="1"/>
    <tableColumn id="3" xr3:uid="{E31324A2-497A-40B9-A227-C8494D1391B3}" name="Not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2D14F-E6C9-4E48-8EA2-26B679DEEF29}">
  <dimension ref="A1:H21"/>
  <sheetViews>
    <sheetView showGridLines="0" workbookViewId="0">
      <selection activeCell="F27" sqref="F27"/>
    </sheetView>
  </sheetViews>
  <sheetFormatPr defaultRowHeight="14.25" x14ac:dyDescent="0.45"/>
  <cols>
    <col min="1" max="8" width="16.265625" customWidth="1"/>
  </cols>
  <sheetData>
    <row r="1" spans="1:8" ht="31.9" customHeight="1" x14ac:dyDescent="0.75">
      <c r="A1" s="37" t="s">
        <v>0</v>
      </c>
      <c r="B1" s="37"/>
      <c r="C1" s="37"/>
      <c r="D1" s="37"/>
      <c r="E1" s="37"/>
      <c r="F1" s="37"/>
      <c r="G1" s="37"/>
      <c r="H1" s="37"/>
    </row>
    <row r="2" spans="1:8" x14ac:dyDescent="0.45">
      <c r="A2" s="38" t="s">
        <v>1</v>
      </c>
      <c r="B2" s="39"/>
      <c r="C2" s="39"/>
      <c r="D2" s="39"/>
      <c r="E2" s="39"/>
      <c r="F2" s="39"/>
      <c r="G2" s="39"/>
      <c r="H2" s="39"/>
    </row>
    <row r="3" spans="1:8" x14ac:dyDescent="0.45">
      <c r="A3" s="40" t="s">
        <v>2</v>
      </c>
      <c r="B3" s="40"/>
      <c r="C3" s="40"/>
      <c r="D3" s="40"/>
      <c r="E3" s="40"/>
      <c r="F3" s="40"/>
      <c r="G3" s="40"/>
      <c r="H3" s="40"/>
    </row>
    <row r="4" spans="1:8" ht="48" customHeight="1" x14ac:dyDescent="0.9">
      <c r="A4" s="41">
        <f>ROWS(PartnerDirectory[Full name])</f>
        <v>135</v>
      </c>
      <c r="B4" s="42"/>
      <c r="C4" s="41">
        <f>COUNTIF(PartnerDirectory[Status],"Active")</f>
        <v>131</v>
      </c>
      <c r="D4" s="42"/>
      <c r="E4" s="41">
        <f>ROWS(ProjectList[Project Name])</f>
        <v>22</v>
      </c>
      <c r="F4" s="42"/>
      <c r="G4" s="41">
        <f>COUNTIF(ProjectList[Status],"Active")</f>
        <v>18</v>
      </c>
      <c r="H4" s="45"/>
    </row>
    <row r="5" spans="1:8" x14ac:dyDescent="0.45">
      <c r="A5" s="43" t="s">
        <v>3</v>
      </c>
      <c r="B5" s="44"/>
      <c r="C5" s="43" t="s">
        <v>4</v>
      </c>
      <c r="D5" s="44"/>
      <c r="E5" s="43" t="s">
        <v>5</v>
      </c>
      <c r="F5" s="44"/>
      <c r="G5" s="43" t="s">
        <v>6</v>
      </c>
      <c r="H5" s="46"/>
    </row>
    <row r="6" spans="1:8" x14ac:dyDescent="0.45">
      <c r="A6" s="4"/>
      <c r="B6" s="4"/>
      <c r="C6" s="4"/>
      <c r="D6" s="4"/>
      <c r="E6" s="4"/>
      <c r="F6" s="4"/>
      <c r="G6" s="4"/>
      <c r="H6" s="4"/>
    </row>
    <row r="7" spans="1:8" ht="48" customHeight="1" x14ac:dyDescent="0.9">
      <c r="A7" s="41">
        <f>ROWS(ProjectTaskCodes[Project Task Code])</f>
        <v>11</v>
      </c>
      <c r="B7" s="42"/>
      <c r="C7" s="41">
        <f>ROWS(NonProjectCodes[Work Code])</f>
        <v>9</v>
      </c>
      <c r="D7" s="42"/>
      <c r="E7" s="41">
        <f>COUNTA('FY26 -FY27 Calendar'!B5:B16)+COUNTA('FY26 -FY27 Calendar'!J5:J16)</f>
        <v>24</v>
      </c>
      <c r="F7" s="42"/>
      <c r="G7" s="41">
        <f>COUNTIF(ExpenseClassification[Classification],"*Capital*")</f>
        <v>5</v>
      </c>
      <c r="H7" s="45"/>
    </row>
    <row r="8" spans="1:8" x14ac:dyDescent="0.45">
      <c r="A8" s="43" t="s">
        <v>7</v>
      </c>
      <c r="B8" s="44"/>
      <c r="C8" s="43" t="s">
        <v>8</v>
      </c>
      <c r="D8" s="44"/>
      <c r="E8" s="43" t="s">
        <v>9</v>
      </c>
      <c r="F8" s="44"/>
      <c r="G8" s="43" t="s">
        <v>10</v>
      </c>
      <c r="H8" s="46"/>
    </row>
    <row r="9" spans="1:8" x14ac:dyDescent="0.45">
      <c r="A9" s="3"/>
      <c r="B9" s="3"/>
      <c r="C9" s="3"/>
      <c r="D9" s="3"/>
      <c r="E9" s="3"/>
      <c r="F9" s="3"/>
      <c r="G9" s="3"/>
      <c r="H9" s="3"/>
    </row>
    <row r="10" spans="1:8" x14ac:dyDescent="0.45">
      <c r="A10" s="40" t="s">
        <v>11</v>
      </c>
      <c r="B10" s="40"/>
      <c r="C10" s="40"/>
      <c r="D10" s="40"/>
      <c r="E10" s="40"/>
      <c r="F10" s="40"/>
      <c r="G10" s="40"/>
      <c r="H10" s="40"/>
    </row>
    <row r="11" spans="1:8" x14ac:dyDescent="0.45">
      <c r="A11" s="47" t="s">
        <v>12</v>
      </c>
      <c r="B11" s="48"/>
      <c r="C11" s="48"/>
      <c r="D11" s="48" t="s">
        <v>13</v>
      </c>
      <c r="E11" s="48"/>
      <c r="F11" s="48"/>
      <c r="G11" s="48"/>
      <c r="H11" s="49"/>
    </row>
    <row r="12" spans="1:8" x14ac:dyDescent="0.45">
      <c r="A12" s="50" t="s">
        <v>14</v>
      </c>
      <c r="B12" s="51"/>
      <c r="C12" s="51"/>
      <c r="D12" s="52" t="s">
        <v>15</v>
      </c>
      <c r="E12" s="52"/>
      <c r="F12" s="52"/>
      <c r="G12" s="52"/>
      <c r="H12" s="53"/>
    </row>
    <row r="13" spans="1:8" x14ac:dyDescent="0.45">
      <c r="A13" s="50" t="s">
        <v>16</v>
      </c>
      <c r="B13" s="51"/>
      <c r="C13" s="51"/>
      <c r="D13" s="52" t="s">
        <v>17</v>
      </c>
      <c r="E13" s="52"/>
      <c r="F13" s="52"/>
      <c r="G13" s="52"/>
      <c r="H13" s="53"/>
    </row>
    <row r="14" spans="1:8" x14ac:dyDescent="0.45">
      <c r="A14" s="50" t="s">
        <v>18</v>
      </c>
      <c r="B14" s="51"/>
      <c r="C14" s="51"/>
      <c r="D14" s="52" t="s">
        <v>19</v>
      </c>
      <c r="E14" s="52"/>
      <c r="F14" s="52"/>
      <c r="G14" s="52"/>
      <c r="H14" s="53"/>
    </row>
    <row r="15" spans="1:8" x14ac:dyDescent="0.45">
      <c r="A15" s="50" t="s">
        <v>20</v>
      </c>
      <c r="B15" s="51"/>
      <c r="C15" s="51"/>
      <c r="D15" s="52" t="s">
        <v>21</v>
      </c>
      <c r="E15" s="52"/>
      <c r="F15" s="52"/>
      <c r="G15" s="52"/>
      <c r="H15" s="53"/>
    </row>
    <row r="16" spans="1:8" x14ac:dyDescent="0.45">
      <c r="A16" s="55" t="s">
        <v>22</v>
      </c>
      <c r="B16" s="56"/>
      <c r="C16" s="56"/>
      <c r="D16" s="57" t="s">
        <v>23</v>
      </c>
      <c r="E16" s="57"/>
      <c r="F16" s="57"/>
      <c r="G16" s="57"/>
      <c r="H16" s="58"/>
    </row>
    <row r="17" spans="1:8" x14ac:dyDescent="0.45">
      <c r="A17" s="3"/>
      <c r="B17" s="3"/>
      <c r="C17" s="3"/>
      <c r="D17" s="3"/>
      <c r="E17" s="3"/>
      <c r="F17" s="3"/>
      <c r="G17" s="3"/>
      <c r="H17" s="3"/>
    </row>
    <row r="18" spans="1:8" x14ac:dyDescent="0.45">
      <c r="A18" s="40" t="s">
        <v>24</v>
      </c>
      <c r="B18" s="40"/>
      <c r="C18" s="40"/>
      <c r="D18" s="40"/>
      <c r="E18" s="40"/>
      <c r="F18" s="40"/>
      <c r="G18" s="40"/>
      <c r="H18" s="40"/>
    </row>
    <row r="19" spans="1:8" x14ac:dyDescent="0.45">
      <c r="A19" s="54" t="s">
        <v>25</v>
      </c>
      <c r="B19" s="54"/>
      <c r="C19" s="54"/>
      <c r="D19" s="54"/>
      <c r="E19" s="54"/>
      <c r="F19" s="54"/>
      <c r="G19" s="54"/>
      <c r="H19" s="54"/>
    </row>
    <row r="20" spans="1:8" x14ac:dyDescent="0.45">
      <c r="A20" s="54"/>
      <c r="B20" s="54"/>
      <c r="C20" s="54"/>
      <c r="D20" s="54"/>
      <c r="E20" s="54"/>
      <c r="F20" s="54"/>
      <c r="G20" s="54"/>
      <c r="H20" s="54"/>
    </row>
    <row r="21" spans="1:8" x14ac:dyDescent="0.45">
      <c r="A21" s="3"/>
      <c r="B21" s="3"/>
      <c r="C21" s="3"/>
      <c r="D21" s="3"/>
      <c r="E21" s="3"/>
      <c r="F21" s="3"/>
      <c r="G21" s="3"/>
      <c r="H21" s="3"/>
    </row>
  </sheetData>
  <mergeCells count="34">
    <mergeCell ref="A19:H20"/>
    <mergeCell ref="A15:C15"/>
    <mergeCell ref="D15:H15"/>
    <mergeCell ref="A16:C16"/>
    <mergeCell ref="D16:H16"/>
    <mergeCell ref="A12:C12"/>
    <mergeCell ref="D12:H12"/>
    <mergeCell ref="A13:C13"/>
    <mergeCell ref="D13:H13"/>
    <mergeCell ref="A14:C14"/>
    <mergeCell ref="D14:H14"/>
    <mergeCell ref="G5:H5"/>
    <mergeCell ref="A7:B7"/>
    <mergeCell ref="A8:B8"/>
    <mergeCell ref="C7:D7"/>
    <mergeCell ref="C8:D8"/>
    <mergeCell ref="E7:F7"/>
    <mergeCell ref="E8:F8"/>
    <mergeCell ref="A1:H1"/>
    <mergeCell ref="A2:H2"/>
    <mergeCell ref="A3:H3"/>
    <mergeCell ref="A10:H10"/>
    <mergeCell ref="A18:H18"/>
    <mergeCell ref="A4:B4"/>
    <mergeCell ref="A5:B5"/>
    <mergeCell ref="C4:D4"/>
    <mergeCell ref="C5:D5"/>
    <mergeCell ref="G7:H7"/>
    <mergeCell ref="G8:H8"/>
    <mergeCell ref="A11:C11"/>
    <mergeCell ref="D11:H11"/>
    <mergeCell ref="E4:F4"/>
    <mergeCell ref="E5:F5"/>
    <mergeCell ref="G4:H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4626-47D1-4957-8CEC-1BFFE9EF06FB}">
  <dimension ref="A3:G137"/>
  <sheetViews>
    <sheetView workbookViewId="0">
      <selection activeCell="I24" sqref="I24"/>
    </sheetView>
  </sheetViews>
  <sheetFormatPr defaultRowHeight="14.25" x14ac:dyDescent="0.45"/>
  <cols>
    <col min="1" max="1" width="20.265625" bestFit="1" customWidth="1"/>
    <col min="2" max="2" width="34.3984375" bestFit="1" customWidth="1"/>
    <col min="3" max="3" width="32.73046875" bestFit="1" customWidth="1"/>
    <col min="4" max="4" width="11.86328125" bestFit="1" customWidth="1"/>
    <col min="5" max="5" width="35.265625" bestFit="1" customWidth="1"/>
    <col min="6" max="6" width="14.265625" bestFit="1" customWidth="1"/>
    <col min="7" max="7" width="8.73046875" bestFit="1" customWidth="1"/>
  </cols>
  <sheetData>
    <row r="3" spans="1:7" x14ac:dyDescent="0.45">
      <c r="A3" s="2" t="s">
        <v>26</v>
      </c>
      <c r="B3" s="2" t="s">
        <v>27</v>
      </c>
      <c r="C3" s="2" t="s">
        <v>28</v>
      </c>
      <c r="D3" s="2" t="s">
        <v>29</v>
      </c>
      <c r="E3" s="2" t="s">
        <v>30</v>
      </c>
      <c r="F3" s="2" t="s">
        <v>31</v>
      </c>
      <c r="G3" s="2" t="s">
        <v>32</v>
      </c>
    </row>
    <row r="4" spans="1:7" x14ac:dyDescent="0.45">
      <c r="A4" t="s">
        <v>33</v>
      </c>
      <c r="B4" t="s">
        <v>34</v>
      </c>
      <c r="C4" t="s">
        <v>35</v>
      </c>
      <c r="D4" t="s">
        <v>36</v>
      </c>
      <c r="E4" t="s">
        <v>37</v>
      </c>
      <c r="F4" t="s">
        <v>38</v>
      </c>
      <c r="G4" t="s">
        <v>39</v>
      </c>
    </row>
    <row r="5" spans="1:7" x14ac:dyDescent="0.45">
      <c r="A5" t="s">
        <v>40</v>
      </c>
      <c r="B5" t="s">
        <v>41</v>
      </c>
      <c r="C5" t="s">
        <v>42</v>
      </c>
      <c r="D5" t="s">
        <v>43</v>
      </c>
      <c r="E5" t="s">
        <v>44</v>
      </c>
      <c r="F5" t="s">
        <v>38</v>
      </c>
      <c r="G5" t="s">
        <v>39</v>
      </c>
    </row>
    <row r="6" spans="1:7" x14ac:dyDescent="0.45">
      <c r="A6" t="s">
        <v>45</v>
      </c>
      <c r="B6" t="s">
        <v>46</v>
      </c>
      <c r="C6" t="s">
        <v>47</v>
      </c>
      <c r="D6" t="s">
        <v>48</v>
      </c>
      <c r="E6" t="s">
        <v>49</v>
      </c>
      <c r="F6" t="s">
        <v>38</v>
      </c>
      <c r="G6" t="s">
        <v>39</v>
      </c>
    </row>
    <row r="7" spans="1:7" x14ac:dyDescent="0.45">
      <c r="A7" t="s">
        <v>50</v>
      </c>
      <c r="B7" t="s">
        <v>51</v>
      </c>
      <c r="C7" t="s">
        <v>52</v>
      </c>
      <c r="D7" t="s">
        <v>53</v>
      </c>
      <c r="E7" t="s">
        <v>54</v>
      </c>
      <c r="F7" t="s">
        <v>38</v>
      </c>
      <c r="G7" t="s">
        <v>39</v>
      </c>
    </row>
    <row r="8" spans="1:7" x14ac:dyDescent="0.45">
      <c r="A8" t="s">
        <v>55</v>
      </c>
      <c r="B8" t="s">
        <v>56</v>
      </c>
      <c r="C8" t="s">
        <v>57</v>
      </c>
      <c r="D8" t="s">
        <v>58</v>
      </c>
      <c r="E8" t="s">
        <v>59</v>
      </c>
      <c r="F8" t="s">
        <v>38</v>
      </c>
      <c r="G8" t="s">
        <v>39</v>
      </c>
    </row>
    <row r="9" spans="1:7" x14ac:dyDescent="0.45">
      <c r="A9" t="s">
        <v>60</v>
      </c>
      <c r="B9" t="s">
        <v>41</v>
      </c>
      <c r="C9" t="s">
        <v>42</v>
      </c>
      <c r="D9" t="s">
        <v>61</v>
      </c>
      <c r="E9" t="s">
        <v>62</v>
      </c>
      <c r="F9" t="s">
        <v>63</v>
      </c>
      <c r="G9" t="s">
        <v>39</v>
      </c>
    </row>
    <row r="10" spans="1:7" x14ac:dyDescent="0.45">
      <c r="A10" t="s">
        <v>64</v>
      </c>
      <c r="B10" t="s">
        <v>65</v>
      </c>
      <c r="C10" t="s">
        <v>66</v>
      </c>
      <c r="D10" t="s">
        <v>67</v>
      </c>
      <c r="E10" t="s">
        <v>68</v>
      </c>
      <c r="F10" t="s">
        <v>38</v>
      </c>
      <c r="G10" t="s">
        <v>39</v>
      </c>
    </row>
    <row r="11" spans="1:7" x14ac:dyDescent="0.45">
      <c r="A11" t="s">
        <v>69</v>
      </c>
      <c r="B11" t="s">
        <v>70</v>
      </c>
      <c r="C11" t="s">
        <v>71</v>
      </c>
      <c r="D11" t="s">
        <v>72</v>
      </c>
      <c r="E11" t="s">
        <v>73</v>
      </c>
      <c r="F11" t="s">
        <v>38</v>
      </c>
      <c r="G11" t="s">
        <v>39</v>
      </c>
    </row>
    <row r="12" spans="1:7" x14ac:dyDescent="0.45">
      <c r="A12" t="s">
        <v>74</v>
      </c>
      <c r="B12" t="s">
        <v>75</v>
      </c>
      <c r="C12" t="s">
        <v>76</v>
      </c>
      <c r="D12" t="s">
        <v>77</v>
      </c>
      <c r="E12" t="s">
        <v>78</v>
      </c>
      <c r="F12" t="s">
        <v>38</v>
      </c>
      <c r="G12" t="s">
        <v>39</v>
      </c>
    </row>
    <row r="13" spans="1:7" x14ac:dyDescent="0.45">
      <c r="A13" t="s">
        <v>79</v>
      </c>
      <c r="B13" t="s">
        <v>80</v>
      </c>
      <c r="C13" t="s">
        <v>52</v>
      </c>
      <c r="D13" t="s">
        <v>81</v>
      </c>
      <c r="E13" t="s">
        <v>82</v>
      </c>
      <c r="F13" t="s">
        <v>38</v>
      </c>
      <c r="G13" t="s">
        <v>39</v>
      </c>
    </row>
    <row r="14" spans="1:7" x14ac:dyDescent="0.45">
      <c r="A14" t="s">
        <v>83</v>
      </c>
      <c r="B14" t="s">
        <v>56</v>
      </c>
      <c r="C14" t="s">
        <v>76</v>
      </c>
      <c r="D14" t="s">
        <v>84</v>
      </c>
      <c r="E14" t="s">
        <v>85</v>
      </c>
      <c r="F14" t="s">
        <v>38</v>
      </c>
      <c r="G14" t="s">
        <v>86</v>
      </c>
    </row>
    <row r="15" spans="1:7" x14ac:dyDescent="0.45">
      <c r="A15" t="s">
        <v>87</v>
      </c>
      <c r="B15" t="s">
        <v>80</v>
      </c>
      <c r="C15" t="s">
        <v>88</v>
      </c>
      <c r="D15" t="s">
        <v>89</v>
      </c>
      <c r="E15" t="s">
        <v>90</v>
      </c>
      <c r="F15" t="s">
        <v>38</v>
      </c>
      <c r="G15" t="s">
        <v>39</v>
      </c>
    </row>
    <row r="16" spans="1:7" x14ac:dyDescent="0.45">
      <c r="A16" t="s">
        <v>91</v>
      </c>
      <c r="B16" t="s">
        <v>80</v>
      </c>
      <c r="C16" t="s">
        <v>92</v>
      </c>
      <c r="D16" t="s">
        <v>93</v>
      </c>
      <c r="E16" t="s">
        <v>94</v>
      </c>
      <c r="F16" t="s">
        <v>38</v>
      </c>
      <c r="G16" t="s">
        <v>39</v>
      </c>
    </row>
    <row r="17" spans="1:7" x14ac:dyDescent="0.45">
      <c r="A17" t="s">
        <v>95</v>
      </c>
      <c r="B17" t="s">
        <v>96</v>
      </c>
      <c r="C17" t="s">
        <v>76</v>
      </c>
      <c r="D17" t="s">
        <v>97</v>
      </c>
      <c r="E17" t="s">
        <v>98</v>
      </c>
      <c r="F17" t="s">
        <v>38</v>
      </c>
      <c r="G17" t="s">
        <v>39</v>
      </c>
    </row>
    <row r="18" spans="1:7" x14ac:dyDescent="0.45">
      <c r="A18" t="s">
        <v>99</v>
      </c>
      <c r="B18" t="s">
        <v>100</v>
      </c>
      <c r="C18" t="s">
        <v>76</v>
      </c>
      <c r="D18" t="s">
        <v>101</v>
      </c>
      <c r="E18" t="s">
        <v>102</v>
      </c>
      <c r="F18" t="s">
        <v>38</v>
      </c>
      <c r="G18" t="s">
        <v>39</v>
      </c>
    </row>
    <row r="19" spans="1:7" x14ac:dyDescent="0.45">
      <c r="A19" t="s">
        <v>103</v>
      </c>
      <c r="B19" t="s">
        <v>104</v>
      </c>
      <c r="C19" t="s">
        <v>35</v>
      </c>
      <c r="D19" t="s">
        <v>105</v>
      </c>
      <c r="E19" t="s">
        <v>106</v>
      </c>
      <c r="F19" t="s">
        <v>38</v>
      </c>
      <c r="G19" t="s">
        <v>39</v>
      </c>
    </row>
    <row r="20" spans="1:7" x14ac:dyDescent="0.45">
      <c r="A20" t="s">
        <v>107</v>
      </c>
      <c r="B20" t="s">
        <v>41</v>
      </c>
      <c r="C20" t="s">
        <v>42</v>
      </c>
      <c r="D20" t="s">
        <v>108</v>
      </c>
      <c r="E20" t="s">
        <v>109</v>
      </c>
      <c r="F20" t="s">
        <v>63</v>
      </c>
      <c r="G20" t="s">
        <v>39</v>
      </c>
    </row>
    <row r="21" spans="1:7" x14ac:dyDescent="0.45">
      <c r="A21" t="s">
        <v>110</v>
      </c>
      <c r="B21" t="s">
        <v>111</v>
      </c>
      <c r="C21" t="s">
        <v>112</v>
      </c>
      <c r="D21" t="s">
        <v>113</v>
      </c>
      <c r="E21" t="s">
        <v>114</v>
      </c>
      <c r="F21" t="s">
        <v>38</v>
      </c>
      <c r="G21" t="s">
        <v>39</v>
      </c>
    </row>
    <row r="22" spans="1:7" x14ac:dyDescent="0.45">
      <c r="A22" t="s">
        <v>115</v>
      </c>
      <c r="B22" t="s">
        <v>116</v>
      </c>
      <c r="C22" t="s">
        <v>57</v>
      </c>
      <c r="D22" t="s">
        <v>117</v>
      </c>
      <c r="E22" t="s">
        <v>118</v>
      </c>
      <c r="F22" t="s">
        <v>38</v>
      </c>
      <c r="G22" t="s">
        <v>39</v>
      </c>
    </row>
    <row r="23" spans="1:7" x14ac:dyDescent="0.45">
      <c r="A23" t="s">
        <v>119</v>
      </c>
      <c r="B23" t="s">
        <v>120</v>
      </c>
      <c r="C23" t="s">
        <v>121</v>
      </c>
      <c r="D23" t="s">
        <v>122</v>
      </c>
      <c r="E23" t="s">
        <v>123</v>
      </c>
      <c r="F23" t="s">
        <v>38</v>
      </c>
      <c r="G23" t="s">
        <v>39</v>
      </c>
    </row>
    <row r="24" spans="1:7" x14ac:dyDescent="0.45">
      <c r="A24" t="s">
        <v>124</v>
      </c>
      <c r="B24" t="s">
        <v>125</v>
      </c>
      <c r="C24" t="s">
        <v>35</v>
      </c>
      <c r="D24" t="s">
        <v>126</v>
      </c>
      <c r="E24" t="s">
        <v>127</v>
      </c>
      <c r="F24" t="s">
        <v>38</v>
      </c>
      <c r="G24" t="s">
        <v>39</v>
      </c>
    </row>
    <row r="25" spans="1:7" x14ac:dyDescent="0.45">
      <c r="A25" t="s">
        <v>128</v>
      </c>
      <c r="B25" t="s">
        <v>129</v>
      </c>
      <c r="C25" t="s">
        <v>35</v>
      </c>
      <c r="D25" t="s">
        <v>130</v>
      </c>
      <c r="E25" t="s">
        <v>131</v>
      </c>
      <c r="F25" t="s">
        <v>38</v>
      </c>
      <c r="G25" t="s">
        <v>39</v>
      </c>
    </row>
    <row r="26" spans="1:7" x14ac:dyDescent="0.45">
      <c r="A26" t="s">
        <v>132</v>
      </c>
      <c r="B26" t="s">
        <v>96</v>
      </c>
      <c r="C26" t="s">
        <v>133</v>
      </c>
      <c r="D26" t="s">
        <v>134</v>
      </c>
      <c r="E26" t="s">
        <v>135</v>
      </c>
      <c r="F26" t="s">
        <v>38</v>
      </c>
      <c r="G26" t="s">
        <v>39</v>
      </c>
    </row>
    <row r="27" spans="1:7" x14ac:dyDescent="0.45">
      <c r="A27" t="s">
        <v>136</v>
      </c>
      <c r="B27" t="s">
        <v>80</v>
      </c>
      <c r="C27" t="s">
        <v>52</v>
      </c>
      <c r="D27" t="s">
        <v>137</v>
      </c>
      <c r="E27" t="s">
        <v>138</v>
      </c>
      <c r="F27" t="s">
        <v>38</v>
      </c>
      <c r="G27" t="s">
        <v>39</v>
      </c>
    </row>
    <row r="28" spans="1:7" x14ac:dyDescent="0.45">
      <c r="A28" t="s">
        <v>139</v>
      </c>
      <c r="B28" t="s">
        <v>46</v>
      </c>
      <c r="C28" t="s">
        <v>47</v>
      </c>
      <c r="D28" t="s">
        <v>140</v>
      </c>
      <c r="E28" t="s">
        <v>141</v>
      </c>
      <c r="F28" t="s">
        <v>38</v>
      </c>
      <c r="G28" t="s">
        <v>39</v>
      </c>
    </row>
    <row r="29" spans="1:7" x14ac:dyDescent="0.45">
      <c r="A29" t="s">
        <v>142</v>
      </c>
      <c r="B29" t="s">
        <v>70</v>
      </c>
      <c r="C29" t="s">
        <v>71</v>
      </c>
      <c r="D29" t="s">
        <v>143</v>
      </c>
      <c r="E29" t="s">
        <v>144</v>
      </c>
      <c r="F29" t="s">
        <v>38</v>
      </c>
      <c r="G29" t="s">
        <v>39</v>
      </c>
    </row>
    <row r="30" spans="1:7" x14ac:dyDescent="0.45">
      <c r="A30" t="s">
        <v>145</v>
      </c>
      <c r="B30" t="s">
        <v>80</v>
      </c>
      <c r="C30" t="s">
        <v>52</v>
      </c>
      <c r="D30" t="s">
        <v>146</v>
      </c>
      <c r="E30" t="s">
        <v>147</v>
      </c>
      <c r="F30" t="s">
        <v>38</v>
      </c>
      <c r="G30" t="s">
        <v>39</v>
      </c>
    </row>
    <row r="31" spans="1:7" x14ac:dyDescent="0.45">
      <c r="A31" t="s">
        <v>148</v>
      </c>
      <c r="B31" t="s">
        <v>149</v>
      </c>
      <c r="C31" t="s">
        <v>47</v>
      </c>
      <c r="D31" t="s">
        <v>150</v>
      </c>
      <c r="E31" t="s">
        <v>151</v>
      </c>
      <c r="F31" t="s">
        <v>38</v>
      </c>
      <c r="G31" t="s">
        <v>39</v>
      </c>
    </row>
    <row r="32" spans="1:7" x14ac:dyDescent="0.45">
      <c r="A32" t="s">
        <v>152</v>
      </c>
      <c r="B32" t="s">
        <v>56</v>
      </c>
      <c r="C32" t="s">
        <v>57</v>
      </c>
      <c r="D32" t="s">
        <v>153</v>
      </c>
      <c r="E32" t="s">
        <v>154</v>
      </c>
      <c r="F32" t="s">
        <v>38</v>
      </c>
      <c r="G32" t="s">
        <v>39</v>
      </c>
    </row>
    <row r="33" spans="1:7" x14ac:dyDescent="0.45">
      <c r="A33" t="s">
        <v>155</v>
      </c>
      <c r="B33" t="s">
        <v>80</v>
      </c>
      <c r="C33" t="s">
        <v>92</v>
      </c>
      <c r="D33" t="s">
        <v>156</v>
      </c>
      <c r="E33" t="s">
        <v>157</v>
      </c>
      <c r="F33" t="s">
        <v>38</v>
      </c>
      <c r="G33" t="s">
        <v>39</v>
      </c>
    </row>
    <row r="34" spans="1:7" x14ac:dyDescent="0.45">
      <c r="A34" t="s">
        <v>158</v>
      </c>
      <c r="B34" t="s">
        <v>159</v>
      </c>
      <c r="C34" t="s">
        <v>160</v>
      </c>
      <c r="D34" t="s">
        <v>161</v>
      </c>
      <c r="E34" t="s">
        <v>162</v>
      </c>
      <c r="F34" t="s">
        <v>38</v>
      </c>
      <c r="G34" t="s">
        <v>39</v>
      </c>
    </row>
    <row r="35" spans="1:7" x14ac:dyDescent="0.45">
      <c r="A35" t="s">
        <v>163</v>
      </c>
      <c r="B35" t="s">
        <v>56</v>
      </c>
      <c r="C35" t="s">
        <v>76</v>
      </c>
      <c r="D35" t="s">
        <v>164</v>
      </c>
      <c r="E35" t="s">
        <v>165</v>
      </c>
      <c r="F35" t="s">
        <v>38</v>
      </c>
      <c r="G35" t="s">
        <v>39</v>
      </c>
    </row>
    <row r="36" spans="1:7" x14ac:dyDescent="0.45">
      <c r="A36" t="s">
        <v>166</v>
      </c>
      <c r="B36" t="s">
        <v>167</v>
      </c>
      <c r="C36" t="s">
        <v>168</v>
      </c>
      <c r="D36" t="s">
        <v>169</v>
      </c>
      <c r="E36" t="s">
        <v>170</v>
      </c>
      <c r="F36" t="s">
        <v>38</v>
      </c>
      <c r="G36" t="s">
        <v>39</v>
      </c>
    </row>
    <row r="37" spans="1:7" x14ac:dyDescent="0.45">
      <c r="A37" t="s">
        <v>171</v>
      </c>
      <c r="B37" t="s">
        <v>172</v>
      </c>
      <c r="C37" t="s">
        <v>92</v>
      </c>
      <c r="D37" t="s">
        <v>173</v>
      </c>
      <c r="E37" t="s">
        <v>174</v>
      </c>
      <c r="F37" t="s">
        <v>38</v>
      </c>
      <c r="G37" t="s">
        <v>86</v>
      </c>
    </row>
    <row r="38" spans="1:7" x14ac:dyDescent="0.45">
      <c r="A38" t="s">
        <v>175</v>
      </c>
      <c r="B38" t="s">
        <v>176</v>
      </c>
      <c r="C38" t="s">
        <v>177</v>
      </c>
      <c r="D38" t="s">
        <v>178</v>
      </c>
      <c r="E38" t="s">
        <v>179</v>
      </c>
      <c r="F38" t="s">
        <v>38</v>
      </c>
      <c r="G38" t="s">
        <v>39</v>
      </c>
    </row>
    <row r="39" spans="1:7" x14ac:dyDescent="0.45">
      <c r="A39" t="s">
        <v>180</v>
      </c>
      <c r="B39" t="s">
        <v>70</v>
      </c>
      <c r="C39" t="s">
        <v>71</v>
      </c>
      <c r="D39" t="s">
        <v>181</v>
      </c>
      <c r="E39" t="s">
        <v>182</v>
      </c>
      <c r="F39" t="s">
        <v>38</v>
      </c>
      <c r="G39" t="s">
        <v>39</v>
      </c>
    </row>
    <row r="40" spans="1:7" x14ac:dyDescent="0.45">
      <c r="A40" t="s">
        <v>183</v>
      </c>
      <c r="B40" t="s">
        <v>70</v>
      </c>
      <c r="C40" t="s">
        <v>71</v>
      </c>
      <c r="D40" t="s">
        <v>184</v>
      </c>
      <c r="E40" t="s">
        <v>185</v>
      </c>
      <c r="F40" t="s">
        <v>38</v>
      </c>
      <c r="G40" t="s">
        <v>39</v>
      </c>
    </row>
    <row r="41" spans="1:7" x14ac:dyDescent="0.45">
      <c r="A41" t="s">
        <v>186</v>
      </c>
      <c r="B41" t="s">
        <v>187</v>
      </c>
      <c r="C41" t="s">
        <v>188</v>
      </c>
      <c r="D41" t="s">
        <v>189</v>
      </c>
      <c r="E41" t="s">
        <v>190</v>
      </c>
      <c r="F41" t="s">
        <v>38</v>
      </c>
      <c r="G41" t="s">
        <v>39</v>
      </c>
    </row>
    <row r="42" spans="1:7" x14ac:dyDescent="0.45">
      <c r="A42" t="s">
        <v>191</v>
      </c>
      <c r="B42" t="s">
        <v>192</v>
      </c>
      <c r="C42" t="s">
        <v>66</v>
      </c>
      <c r="D42" t="s">
        <v>193</v>
      </c>
      <c r="E42" t="s">
        <v>194</v>
      </c>
      <c r="F42" t="s">
        <v>38</v>
      </c>
      <c r="G42" t="s">
        <v>39</v>
      </c>
    </row>
    <row r="43" spans="1:7" x14ac:dyDescent="0.45">
      <c r="A43" t="s">
        <v>195</v>
      </c>
      <c r="B43" t="s">
        <v>104</v>
      </c>
      <c r="C43" t="s">
        <v>35</v>
      </c>
      <c r="D43" t="s">
        <v>196</v>
      </c>
      <c r="E43" t="s">
        <v>197</v>
      </c>
      <c r="F43" t="s">
        <v>38</v>
      </c>
      <c r="G43" t="s">
        <v>39</v>
      </c>
    </row>
    <row r="44" spans="1:7" x14ac:dyDescent="0.45">
      <c r="A44" t="s">
        <v>198</v>
      </c>
      <c r="B44" t="s">
        <v>75</v>
      </c>
      <c r="C44" t="s">
        <v>76</v>
      </c>
      <c r="D44" t="s">
        <v>199</v>
      </c>
      <c r="E44" t="s">
        <v>200</v>
      </c>
      <c r="F44" t="s">
        <v>38</v>
      </c>
      <c r="G44" t="s">
        <v>39</v>
      </c>
    </row>
    <row r="45" spans="1:7" x14ac:dyDescent="0.45">
      <c r="A45" t="s">
        <v>201</v>
      </c>
      <c r="B45" t="s">
        <v>104</v>
      </c>
      <c r="C45" t="s">
        <v>35</v>
      </c>
      <c r="D45" t="s">
        <v>202</v>
      </c>
      <c r="E45" t="s">
        <v>203</v>
      </c>
      <c r="F45" t="s">
        <v>38</v>
      </c>
      <c r="G45" t="s">
        <v>39</v>
      </c>
    </row>
    <row r="46" spans="1:7" x14ac:dyDescent="0.45">
      <c r="A46" t="s">
        <v>204</v>
      </c>
      <c r="B46" t="s">
        <v>205</v>
      </c>
      <c r="C46" t="s">
        <v>188</v>
      </c>
      <c r="D46" t="s">
        <v>206</v>
      </c>
      <c r="E46" t="s">
        <v>207</v>
      </c>
      <c r="F46" t="s">
        <v>38</v>
      </c>
      <c r="G46" t="s">
        <v>39</v>
      </c>
    </row>
    <row r="47" spans="1:7" x14ac:dyDescent="0.45">
      <c r="A47" t="s">
        <v>208</v>
      </c>
      <c r="B47" t="s">
        <v>70</v>
      </c>
      <c r="C47" t="s">
        <v>71</v>
      </c>
      <c r="D47" t="s">
        <v>209</v>
      </c>
      <c r="E47" t="s">
        <v>210</v>
      </c>
      <c r="F47" t="s">
        <v>38</v>
      </c>
      <c r="G47" t="s">
        <v>39</v>
      </c>
    </row>
    <row r="48" spans="1:7" x14ac:dyDescent="0.45">
      <c r="A48" t="s">
        <v>211</v>
      </c>
      <c r="B48" t="s">
        <v>212</v>
      </c>
      <c r="C48" t="s">
        <v>213</v>
      </c>
      <c r="D48" t="s">
        <v>214</v>
      </c>
      <c r="E48" t="s">
        <v>215</v>
      </c>
      <c r="F48" t="s">
        <v>38</v>
      </c>
      <c r="G48" t="s">
        <v>39</v>
      </c>
    </row>
    <row r="49" spans="1:7" x14ac:dyDescent="0.45">
      <c r="A49" t="s">
        <v>216</v>
      </c>
      <c r="B49" t="s">
        <v>167</v>
      </c>
      <c r="C49" t="s">
        <v>168</v>
      </c>
      <c r="D49" t="s">
        <v>217</v>
      </c>
      <c r="E49" t="s">
        <v>218</v>
      </c>
      <c r="F49" t="s">
        <v>38</v>
      </c>
      <c r="G49" t="s">
        <v>39</v>
      </c>
    </row>
    <row r="50" spans="1:7" x14ac:dyDescent="0.45">
      <c r="A50" t="s">
        <v>219</v>
      </c>
      <c r="B50" t="s">
        <v>187</v>
      </c>
      <c r="C50" t="s">
        <v>188</v>
      </c>
      <c r="D50" t="s">
        <v>220</v>
      </c>
      <c r="E50" t="s">
        <v>221</v>
      </c>
      <c r="F50" t="s">
        <v>38</v>
      </c>
      <c r="G50" t="s">
        <v>86</v>
      </c>
    </row>
    <row r="51" spans="1:7" x14ac:dyDescent="0.45">
      <c r="A51" t="s">
        <v>222</v>
      </c>
      <c r="B51" t="s">
        <v>223</v>
      </c>
      <c r="C51" t="s">
        <v>47</v>
      </c>
      <c r="D51" t="s">
        <v>224</v>
      </c>
      <c r="E51" t="s">
        <v>225</v>
      </c>
      <c r="F51" t="s">
        <v>38</v>
      </c>
      <c r="G51" t="s">
        <v>39</v>
      </c>
    </row>
    <row r="52" spans="1:7" x14ac:dyDescent="0.45">
      <c r="A52" t="s">
        <v>226</v>
      </c>
      <c r="B52" t="s">
        <v>80</v>
      </c>
      <c r="C52" t="s">
        <v>92</v>
      </c>
      <c r="D52" t="s">
        <v>227</v>
      </c>
      <c r="E52" t="s">
        <v>228</v>
      </c>
      <c r="F52" t="s">
        <v>38</v>
      </c>
      <c r="G52" t="s">
        <v>39</v>
      </c>
    </row>
    <row r="53" spans="1:7" x14ac:dyDescent="0.45">
      <c r="A53" t="s">
        <v>229</v>
      </c>
      <c r="B53" t="s">
        <v>41</v>
      </c>
      <c r="C53" t="s">
        <v>42</v>
      </c>
      <c r="D53" t="s">
        <v>230</v>
      </c>
      <c r="E53" t="s">
        <v>231</v>
      </c>
      <c r="F53" t="s">
        <v>38</v>
      </c>
      <c r="G53" t="s">
        <v>39</v>
      </c>
    </row>
    <row r="54" spans="1:7" x14ac:dyDescent="0.45">
      <c r="A54" t="s">
        <v>232</v>
      </c>
      <c r="B54" t="s">
        <v>167</v>
      </c>
      <c r="C54" t="s">
        <v>233</v>
      </c>
      <c r="D54" t="s">
        <v>234</v>
      </c>
      <c r="E54" t="s">
        <v>235</v>
      </c>
      <c r="F54" t="s">
        <v>38</v>
      </c>
      <c r="G54" t="s">
        <v>39</v>
      </c>
    </row>
    <row r="55" spans="1:7" x14ac:dyDescent="0.45">
      <c r="A55" t="s">
        <v>236</v>
      </c>
      <c r="B55" t="s">
        <v>167</v>
      </c>
      <c r="C55" t="s">
        <v>88</v>
      </c>
      <c r="D55" t="s">
        <v>237</v>
      </c>
      <c r="E55" t="s">
        <v>238</v>
      </c>
      <c r="F55" t="s">
        <v>38</v>
      </c>
      <c r="G55" t="s">
        <v>39</v>
      </c>
    </row>
    <row r="56" spans="1:7" x14ac:dyDescent="0.45">
      <c r="A56" t="s">
        <v>239</v>
      </c>
      <c r="B56" t="s">
        <v>80</v>
      </c>
      <c r="C56" t="s">
        <v>92</v>
      </c>
      <c r="D56" t="s">
        <v>240</v>
      </c>
      <c r="E56" t="s">
        <v>241</v>
      </c>
      <c r="F56" t="s">
        <v>38</v>
      </c>
      <c r="G56" t="s">
        <v>39</v>
      </c>
    </row>
    <row r="57" spans="1:7" x14ac:dyDescent="0.45">
      <c r="A57" t="s">
        <v>242</v>
      </c>
      <c r="B57" t="s">
        <v>80</v>
      </c>
      <c r="C57" t="s">
        <v>88</v>
      </c>
      <c r="D57" t="s">
        <v>243</v>
      </c>
      <c r="E57" t="s">
        <v>244</v>
      </c>
      <c r="F57" t="s">
        <v>38</v>
      </c>
      <c r="G57" t="s">
        <v>39</v>
      </c>
    </row>
    <row r="58" spans="1:7" x14ac:dyDescent="0.45">
      <c r="A58" t="s">
        <v>245</v>
      </c>
      <c r="B58" t="s">
        <v>80</v>
      </c>
      <c r="C58" t="s">
        <v>52</v>
      </c>
      <c r="D58" t="s">
        <v>246</v>
      </c>
      <c r="E58" t="s">
        <v>247</v>
      </c>
      <c r="F58" t="s">
        <v>38</v>
      </c>
      <c r="G58" t="s">
        <v>39</v>
      </c>
    </row>
    <row r="59" spans="1:7" x14ac:dyDescent="0.45">
      <c r="A59" t="s">
        <v>248</v>
      </c>
      <c r="B59" t="s">
        <v>249</v>
      </c>
      <c r="C59" t="s">
        <v>250</v>
      </c>
      <c r="D59" t="s">
        <v>251</v>
      </c>
      <c r="E59" t="s">
        <v>252</v>
      </c>
      <c r="F59" t="s">
        <v>38</v>
      </c>
      <c r="G59" t="s">
        <v>39</v>
      </c>
    </row>
    <row r="60" spans="1:7" x14ac:dyDescent="0.45">
      <c r="A60" t="s">
        <v>253</v>
      </c>
      <c r="B60" t="s">
        <v>149</v>
      </c>
      <c r="C60" t="s">
        <v>177</v>
      </c>
      <c r="D60" t="s">
        <v>254</v>
      </c>
      <c r="E60" t="s">
        <v>255</v>
      </c>
      <c r="F60" t="s">
        <v>38</v>
      </c>
      <c r="G60" t="s">
        <v>39</v>
      </c>
    </row>
    <row r="61" spans="1:7" x14ac:dyDescent="0.45">
      <c r="A61" t="s">
        <v>256</v>
      </c>
      <c r="B61" t="s">
        <v>96</v>
      </c>
      <c r="C61" t="s">
        <v>133</v>
      </c>
      <c r="D61" t="s">
        <v>257</v>
      </c>
      <c r="E61" t="s">
        <v>258</v>
      </c>
      <c r="F61" t="s">
        <v>38</v>
      </c>
      <c r="G61" t="s">
        <v>39</v>
      </c>
    </row>
    <row r="62" spans="1:7" x14ac:dyDescent="0.45">
      <c r="A62" t="s">
        <v>259</v>
      </c>
      <c r="B62" t="s">
        <v>80</v>
      </c>
      <c r="C62" t="s">
        <v>88</v>
      </c>
      <c r="D62" t="s">
        <v>260</v>
      </c>
      <c r="E62" t="s">
        <v>261</v>
      </c>
      <c r="F62" t="s">
        <v>38</v>
      </c>
      <c r="G62" t="s">
        <v>86</v>
      </c>
    </row>
    <row r="63" spans="1:7" x14ac:dyDescent="0.45">
      <c r="A63" t="s">
        <v>262</v>
      </c>
      <c r="B63" t="s">
        <v>159</v>
      </c>
      <c r="C63" t="s">
        <v>160</v>
      </c>
      <c r="D63" t="s">
        <v>263</v>
      </c>
      <c r="E63" t="s">
        <v>264</v>
      </c>
      <c r="F63" t="s">
        <v>38</v>
      </c>
      <c r="G63" t="s">
        <v>39</v>
      </c>
    </row>
    <row r="64" spans="1:7" x14ac:dyDescent="0.45">
      <c r="A64" t="s">
        <v>265</v>
      </c>
      <c r="B64" t="s">
        <v>80</v>
      </c>
      <c r="C64" t="s">
        <v>112</v>
      </c>
      <c r="D64" t="s">
        <v>266</v>
      </c>
      <c r="E64" t="s">
        <v>267</v>
      </c>
      <c r="F64" t="s">
        <v>38</v>
      </c>
      <c r="G64" t="s">
        <v>39</v>
      </c>
    </row>
    <row r="65" spans="1:7" x14ac:dyDescent="0.45">
      <c r="A65" t="s">
        <v>268</v>
      </c>
      <c r="B65" t="s">
        <v>187</v>
      </c>
      <c r="C65" t="s">
        <v>188</v>
      </c>
      <c r="D65" t="s">
        <v>269</v>
      </c>
      <c r="E65" t="s">
        <v>270</v>
      </c>
      <c r="F65" t="s">
        <v>38</v>
      </c>
      <c r="G65" t="s">
        <v>39</v>
      </c>
    </row>
    <row r="66" spans="1:7" x14ac:dyDescent="0.45">
      <c r="A66" t="s">
        <v>271</v>
      </c>
      <c r="B66" t="s">
        <v>56</v>
      </c>
      <c r="C66" t="s">
        <v>76</v>
      </c>
      <c r="D66" t="s">
        <v>272</v>
      </c>
      <c r="E66" t="s">
        <v>273</v>
      </c>
      <c r="F66" t="s">
        <v>38</v>
      </c>
      <c r="G66" t="s">
        <v>39</v>
      </c>
    </row>
    <row r="67" spans="1:7" x14ac:dyDescent="0.45">
      <c r="A67" t="s">
        <v>274</v>
      </c>
      <c r="B67" t="s">
        <v>116</v>
      </c>
      <c r="C67" t="s">
        <v>160</v>
      </c>
      <c r="D67" t="s">
        <v>275</v>
      </c>
      <c r="E67" t="s">
        <v>276</v>
      </c>
      <c r="F67" t="s">
        <v>38</v>
      </c>
      <c r="G67" t="s">
        <v>39</v>
      </c>
    </row>
    <row r="68" spans="1:7" x14ac:dyDescent="0.45">
      <c r="A68" t="s">
        <v>277</v>
      </c>
      <c r="B68" t="s">
        <v>56</v>
      </c>
      <c r="C68" t="s">
        <v>76</v>
      </c>
      <c r="D68" t="s">
        <v>278</v>
      </c>
      <c r="E68" t="s">
        <v>279</v>
      </c>
      <c r="F68" t="s">
        <v>38</v>
      </c>
      <c r="G68" t="s">
        <v>39</v>
      </c>
    </row>
    <row r="69" spans="1:7" x14ac:dyDescent="0.45">
      <c r="A69" t="s">
        <v>280</v>
      </c>
      <c r="B69" t="s">
        <v>176</v>
      </c>
      <c r="C69" t="s">
        <v>133</v>
      </c>
      <c r="D69" t="s">
        <v>281</v>
      </c>
      <c r="E69" t="s">
        <v>282</v>
      </c>
      <c r="F69" t="s">
        <v>38</v>
      </c>
      <c r="G69" t="s">
        <v>39</v>
      </c>
    </row>
    <row r="70" spans="1:7" x14ac:dyDescent="0.45">
      <c r="A70" t="s">
        <v>283</v>
      </c>
      <c r="B70" t="s">
        <v>46</v>
      </c>
      <c r="C70" t="s">
        <v>47</v>
      </c>
      <c r="D70" t="s">
        <v>284</v>
      </c>
      <c r="E70" t="s">
        <v>285</v>
      </c>
      <c r="F70" t="s">
        <v>38</v>
      </c>
      <c r="G70" t="s">
        <v>39</v>
      </c>
    </row>
    <row r="71" spans="1:7" x14ac:dyDescent="0.45">
      <c r="A71" t="s">
        <v>286</v>
      </c>
      <c r="B71" t="s">
        <v>70</v>
      </c>
      <c r="C71" t="s">
        <v>71</v>
      </c>
      <c r="D71" t="s">
        <v>287</v>
      </c>
      <c r="E71" t="s">
        <v>288</v>
      </c>
      <c r="F71" t="s">
        <v>38</v>
      </c>
      <c r="G71" t="s">
        <v>39</v>
      </c>
    </row>
    <row r="72" spans="1:7" x14ac:dyDescent="0.45">
      <c r="A72" t="s">
        <v>289</v>
      </c>
      <c r="B72" t="s">
        <v>290</v>
      </c>
      <c r="C72" t="s">
        <v>188</v>
      </c>
      <c r="D72" t="s">
        <v>291</v>
      </c>
      <c r="E72" t="s">
        <v>292</v>
      </c>
      <c r="F72" t="s">
        <v>38</v>
      </c>
      <c r="G72" t="s">
        <v>39</v>
      </c>
    </row>
    <row r="73" spans="1:7" x14ac:dyDescent="0.45">
      <c r="A73" t="s">
        <v>293</v>
      </c>
      <c r="B73" t="s">
        <v>294</v>
      </c>
      <c r="C73" t="s">
        <v>168</v>
      </c>
      <c r="D73" t="s">
        <v>295</v>
      </c>
      <c r="E73" t="s">
        <v>296</v>
      </c>
      <c r="F73" t="s">
        <v>38</v>
      </c>
      <c r="G73" t="s">
        <v>39</v>
      </c>
    </row>
    <row r="74" spans="1:7" x14ac:dyDescent="0.45">
      <c r="A74" t="s">
        <v>297</v>
      </c>
      <c r="B74" t="s">
        <v>298</v>
      </c>
      <c r="C74" t="s">
        <v>121</v>
      </c>
      <c r="D74" t="s">
        <v>299</v>
      </c>
      <c r="E74" t="s">
        <v>300</v>
      </c>
      <c r="F74" t="s">
        <v>38</v>
      </c>
      <c r="G74" t="s">
        <v>39</v>
      </c>
    </row>
    <row r="75" spans="1:7" x14ac:dyDescent="0.45">
      <c r="A75" t="s">
        <v>301</v>
      </c>
      <c r="B75" t="s">
        <v>302</v>
      </c>
      <c r="C75" t="s">
        <v>250</v>
      </c>
      <c r="D75" t="s">
        <v>303</v>
      </c>
      <c r="E75" t="s">
        <v>304</v>
      </c>
      <c r="F75" t="s">
        <v>38</v>
      </c>
      <c r="G75" t="s">
        <v>39</v>
      </c>
    </row>
    <row r="76" spans="1:7" x14ac:dyDescent="0.45">
      <c r="A76" t="s">
        <v>305</v>
      </c>
      <c r="B76" t="s">
        <v>104</v>
      </c>
      <c r="C76" t="s">
        <v>35</v>
      </c>
      <c r="D76" t="s">
        <v>306</v>
      </c>
      <c r="E76" t="s">
        <v>307</v>
      </c>
      <c r="F76" t="s">
        <v>38</v>
      </c>
      <c r="G76" t="s">
        <v>39</v>
      </c>
    </row>
    <row r="77" spans="1:7" x14ac:dyDescent="0.45">
      <c r="A77" t="s">
        <v>308</v>
      </c>
      <c r="B77" t="s">
        <v>80</v>
      </c>
      <c r="C77" t="s">
        <v>92</v>
      </c>
      <c r="D77" t="s">
        <v>309</v>
      </c>
      <c r="E77" t="s">
        <v>310</v>
      </c>
      <c r="F77" t="s">
        <v>38</v>
      </c>
      <c r="G77" t="s">
        <v>39</v>
      </c>
    </row>
    <row r="78" spans="1:7" x14ac:dyDescent="0.45">
      <c r="A78" t="s">
        <v>311</v>
      </c>
      <c r="B78" t="s">
        <v>159</v>
      </c>
      <c r="C78" t="s">
        <v>160</v>
      </c>
      <c r="D78" t="s">
        <v>312</v>
      </c>
      <c r="E78" t="s">
        <v>313</v>
      </c>
      <c r="F78" t="s">
        <v>38</v>
      </c>
      <c r="G78" t="s">
        <v>39</v>
      </c>
    </row>
    <row r="79" spans="1:7" x14ac:dyDescent="0.45">
      <c r="C79" t="s">
        <v>133</v>
      </c>
      <c r="D79" t="s">
        <v>312</v>
      </c>
      <c r="E79" t="s">
        <v>313</v>
      </c>
      <c r="F79" t="s">
        <v>38</v>
      </c>
      <c r="G79" t="s">
        <v>39</v>
      </c>
    </row>
    <row r="80" spans="1:7" x14ac:dyDescent="0.45">
      <c r="A80" t="s">
        <v>314</v>
      </c>
      <c r="B80" t="s">
        <v>80</v>
      </c>
      <c r="C80" t="s">
        <v>92</v>
      </c>
      <c r="D80" t="s">
        <v>315</v>
      </c>
      <c r="E80" t="s">
        <v>316</v>
      </c>
      <c r="F80" t="s">
        <v>38</v>
      </c>
      <c r="G80" t="s">
        <v>39</v>
      </c>
    </row>
    <row r="81" spans="1:7" x14ac:dyDescent="0.45">
      <c r="A81" t="s">
        <v>317</v>
      </c>
      <c r="B81" t="s">
        <v>70</v>
      </c>
      <c r="C81" t="s">
        <v>71</v>
      </c>
      <c r="D81" t="s">
        <v>318</v>
      </c>
      <c r="E81" t="s">
        <v>319</v>
      </c>
      <c r="F81" t="s">
        <v>38</v>
      </c>
      <c r="G81" t="s">
        <v>39</v>
      </c>
    </row>
    <row r="82" spans="1:7" x14ac:dyDescent="0.45">
      <c r="A82" t="s">
        <v>320</v>
      </c>
      <c r="B82" t="s">
        <v>80</v>
      </c>
      <c r="C82" t="s">
        <v>88</v>
      </c>
      <c r="D82" t="s">
        <v>321</v>
      </c>
      <c r="E82" t="s">
        <v>322</v>
      </c>
      <c r="F82" t="s">
        <v>38</v>
      </c>
      <c r="G82" t="s">
        <v>39</v>
      </c>
    </row>
    <row r="83" spans="1:7" x14ac:dyDescent="0.45">
      <c r="A83" t="s">
        <v>323</v>
      </c>
      <c r="B83" t="s">
        <v>80</v>
      </c>
      <c r="C83" t="s">
        <v>92</v>
      </c>
      <c r="D83" t="s">
        <v>324</v>
      </c>
      <c r="E83" t="s">
        <v>325</v>
      </c>
      <c r="F83" t="s">
        <v>38</v>
      </c>
      <c r="G83" t="s">
        <v>39</v>
      </c>
    </row>
    <row r="84" spans="1:7" x14ac:dyDescent="0.45">
      <c r="A84" t="s">
        <v>326</v>
      </c>
      <c r="B84" t="s">
        <v>80</v>
      </c>
      <c r="C84" t="s">
        <v>52</v>
      </c>
      <c r="D84" t="s">
        <v>327</v>
      </c>
      <c r="E84" t="s">
        <v>328</v>
      </c>
      <c r="F84" t="s">
        <v>38</v>
      </c>
      <c r="G84" t="s">
        <v>39</v>
      </c>
    </row>
    <row r="85" spans="1:7" x14ac:dyDescent="0.45">
      <c r="A85" t="s">
        <v>329</v>
      </c>
      <c r="B85" t="s">
        <v>330</v>
      </c>
      <c r="C85" t="s">
        <v>42</v>
      </c>
      <c r="D85" t="s">
        <v>331</v>
      </c>
      <c r="E85" t="s">
        <v>332</v>
      </c>
      <c r="F85" t="s">
        <v>38</v>
      </c>
      <c r="G85" t="s">
        <v>39</v>
      </c>
    </row>
    <row r="86" spans="1:7" x14ac:dyDescent="0.45">
      <c r="A86" t="s">
        <v>333</v>
      </c>
      <c r="B86" t="s">
        <v>159</v>
      </c>
      <c r="C86" t="s">
        <v>160</v>
      </c>
      <c r="D86" t="s">
        <v>334</v>
      </c>
      <c r="E86" t="s">
        <v>335</v>
      </c>
      <c r="F86" t="s">
        <v>38</v>
      </c>
      <c r="G86" t="s">
        <v>39</v>
      </c>
    </row>
    <row r="87" spans="1:7" x14ac:dyDescent="0.45">
      <c r="A87" t="s">
        <v>336</v>
      </c>
      <c r="B87" t="s">
        <v>41</v>
      </c>
      <c r="C87" t="s">
        <v>42</v>
      </c>
      <c r="D87" t="s">
        <v>337</v>
      </c>
      <c r="E87" t="s">
        <v>338</v>
      </c>
      <c r="F87" t="s">
        <v>38</v>
      </c>
      <c r="G87" t="s">
        <v>39</v>
      </c>
    </row>
    <row r="88" spans="1:7" x14ac:dyDescent="0.45">
      <c r="A88" t="s">
        <v>339</v>
      </c>
      <c r="B88" t="s">
        <v>80</v>
      </c>
      <c r="C88" t="s">
        <v>52</v>
      </c>
      <c r="D88" t="s">
        <v>340</v>
      </c>
      <c r="E88" t="s">
        <v>341</v>
      </c>
      <c r="F88" t="s">
        <v>38</v>
      </c>
      <c r="G88" t="s">
        <v>39</v>
      </c>
    </row>
    <row r="89" spans="1:7" x14ac:dyDescent="0.45">
      <c r="A89" t="s">
        <v>342</v>
      </c>
      <c r="B89" t="s">
        <v>96</v>
      </c>
      <c r="C89" t="s">
        <v>76</v>
      </c>
      <c r="D89" t="s">
        <v>343</v>
      </c>
      <c r="E89" t="s">
        <v>344</v>
      </c>
      <c r="F89" t="s">
        <v>38</v>
      </c>
      <c r="G89" t="s">
        <v>39</v>
      </c>
    </row>
    <row r="90" spans="1:7" x14ac:dyDescent="0.45">
      <c r="A90" t="s">
        <v>345</v>
      </c>
      <c r="B90" t="s">
        <v>172</v>
      </c>
      <c r="C90" t="s">
        <v>233</v>
      </c>
      <c r="D90" t="s">
        <v>346</v>
      </c>
      <c r="E90" t="s">
        <v>347</v>
      </c>
      <c r="F90" t="s">
        <v>38</v>
      </c>
      <c r="G90" t="s">
        <v>39</v>
      </c>
    </row>
    <row r="91" spans="1:7" x14ac:dyDescent="0.45">
      <c r="A91" t="s">
        <v>348</v>
      </c>
      <c r="B91" t="s">
        <v>80</v>
      </c>
      <c r="C91" t="s">
        <v>88</v>
      </c>
      <c r="D91" t="s">
        <v>349</v>
      </c>
      <c r="E91" t="s">
        <v>350</v>
      </c>
      <c r="F91" t="s">
        <v>38</v>
      </c>
      <c r="G91" t="s">
        <v>39</v>
      </c>
    </row>
    <row r="92" spans="1:7" x14ac:dyDescent="0.45">
      <c r="A92" t="s">
        <v>351</v>
      </c>
      <c r="B92" t="s">
        <v>192</v>
      </c>
      <c r="C92" t="s">
        <v>66</v>
      </c>
      <c r="D92" t="s">
        <v>352</v>
      </c>
      <c r="E92" t="s">
        <v>353</v>
      </c>
      <c r="F92" t="s">
        <v>38</v>
      </c>
      <c r="G92" t="s">
        <v>39</v>
      </c>
    </row>
    <row r="93" spans="1:7" x14ac:dyDescent="0.45">
      <c r="A93" t="s">
        <v>354</v>
      </c>
      <c r="B93" t="s">
        <v>355</v>
      </c>
      <c r="C93" t="s">
        <v>356</v>
      </c>
      <c r="D93" t="s">
        <v>357</v>
      </c>
      <c r="E93" t="s">
        <v>358</v>
      </c>
      <c r="F93" t="s">
        <v>38</v>
      </c>
      <c r="G93" t="s">
        <v>39</v>
      </c>
    </row>
    <row r="94" spans="1:7" x14ac:dyDescent="0.45">
      <c r="A94" t="s">
        <v>359</v>
      </c>
      <c r="B94" t="s">
        <v>46</v>
      </c>
      <c r="C94" t="s">
        <v>47</v>
      </c>
      <c r="D94" t="s">
        <v>360</v>
      </c>
      <c r="E94" t="s">
        <v>361</v>
      </c>
      <c r="F94" t="s">
        <v>38</v>
      </c>
      <c r="G94" t="s">
        <v>39</v>
      </c>
    </row>
    <row r="95" spans="1:7" x14ac:dyDescent="0.45">
      <c r="A95" t="s">
        <v>362</v>
      </c>
      <c r="B95" t="s">
        <v>187</v>
      </c>
      <c r="C95" t="s">
        <v>188</v>
      </c>
      <c r="D95" t="s">
        <v>363</v>
      </c>
      <c r="E95" t="s">
        <v>364</v>
      </c>
      <c r="F95" t="s">
        <v>38</v>
      </c>
      <c r="G95" t="s">
        <v>39</v>
      </c>
    </row>
    <row r="96" spans="1:7" x14ac:dyDescent="0.45">
      <c r="A96" t="s">
        <v>365</v>
      </c>
      <c r="B96" t="s">
        <v>120</v>
      </c>
      <c r="C96" t="s">
        <v>121</v>
      </c>
      <c r="D96" t="s">
        <v>366</v>
      </c>
      <c r="E96" t="s">
        <v>367</v>
      </c>
      <c r="F96" t="s">
        <v>38</v>
      </c>
      <c r="G96" t="s">
        <v>39</v>
      </c>
    </row>
    <row r="97" spans="1:7" x14ac:dyDescent="0.45">
      <c r="A97" t="s">
        <v>368</v>
      </c>
      <c r="B97" t="s">
        <v>120</v>
      </c>
      <c r="C97" t="s">
        <v>121</v>
      </c>
      <c r="D97" t="s">
        <v>369</v>
      </c>
      <c r="E97" t="s">
        <v>370</v>
      </c>
      <c r="F97" t="s">
        <v>38</v>
      </c>
      <c r="G97" t="s">
        <v>39</v>
      </c>
    </row>
    <row r="98" spans="1:7" x14ac:dyDescent="0.45">
      <c r="A98" t="s">
        <v>371</v>
      </c>
      <c r="B98" t="s">
        <v>80</v>
      </c>
      <c r="C98" t="s">
        <v>52</v>
      </c>
      <c r="D98" t="s">
        <v>372</v>
      </c>
      <c r="E98" t="s">
        <v>373</v>
      </c>
      <c r="F98" t="s">
        <v>38</v>
      </c>
      <c r="G98" t="s">
        <v>39</v>
      </c>
    </row>
    <row r="99" spans="1:7" x14ac:dyDescent="0.45">
      <c r="A99" t="s">
        <v>374</v>
      </c>
      <c r="B99" t="s">
        <v>104</v>
      </c>
      <c r="C99" t="s">
        <v>35</v>
      </c>
      <c r="D99" t="s">
        <v>375</v>
      </c>
      <c r="E99" t="s">
        <v>376</v>
      </c>
      <c r="F99" t="s">
        <v>38</v>
      </c>
      <c r="G99" t="s">
        <v>39</v>
      </c>
    </row>
    <row r="100" spans="1:7" x14ac:dyDescent="0.45">
      <c r="A100" t="s">
        <v>377</v>
      </c>
      <c r="B100" t="s">
        <v>172</v>
      </c>
      <c r="C100" t="s">
        <v>88</v>
      </c>
      <c r="D100" t="s">
        <v>378</v>
      </c>
      <c r="E100" t="s">
        <v>379</v>
      </c>
      <c r="F100" t="s">
        <v>38</v>
      </c>
      <c r="G100" t="s">
        <v>39</v>
      </c>
    </row>
    <row r="101" spans="1:7" x14ac:dyDescent="0.45">
      <c r="A101" t="s">
        <v>380</v>
      </c>
      <c r="B101" t="s">
        <v>381</v>
      </c>
      <c r="C101" t="s">
        <v>66</v>
      </c>
      <c r="D101" t="s">
        <v>382</v>
      </c>
      <c r="E101" t="s">
        <v>383</v>
      </c>
      <c r="F101" t="s">
        <v>38</v>
      </c>
      <c r="G101" t="s">
        <v>39</v>
      </c>
    </row>
    <row r="102" spans="1:7" x14ac:dyDescent="0.45">
      <c r="A102" t="s">
        <v>384</v>
      </c>
      <c r="B102" t="s">
        <v>223</v>
      </c>
      <c r="C102" t="s">
        <v>47</v>
      </c>
      <c r="D102" t="s">
        <v>385</v>
      </c>
      <c r="E102" t="s">
        <v>386</v>
      </c>
      <c r="F102" t="s">
        <v>38</v>
      </c>
      <c r="G102" t="s">
        <v>39</v>
      </c>
    </row>
    <row r="103" spans="1:7" x14ac:dyDescent="0.45">
      <c r="A103" t="s">
        <v>387</v>
      </c>
      <c r="B103" t="s">
        <v>80</v>
      </c>
      <c r="C103" t="s">
        <v>88</v>
      </c>
      <c r="D103" t="s">
        <v>388</v>
      </c>
      <c r="E103" t="s">
        <v>389</v>
      </c>
      <c r="F103" t="s">
        <v>38</v>
      </c>
      <c r="G103" t="s">
        <v>39</v>
      </c>
    </row>
    <row r="104" spans="1:7" x14ac:dyDescent="0.45">
      <c r="A104" t="s">
        <v>390</v>
      </c>
      <c r="B104" t="s">
        <v>70</v>
      </c>
      <c r="C104" t="s">
        <v>71</v>
      </c>
      <c r="D104" t="s">
        <v>391</v>
      </c>
      <c r="E104" t="s">
        <v>392</v>
      </c>
      <c r="F104" t="s">
        <v>38</v>
      </c>
      <c r="G104" t="s">
        <v>39</v>
      </c>
    </row>
    <row r="105" spans="1:7" x14ac:dyDescent="0.45">
      <c r="A105" t="s">
        <v>393</v>
      </c>
      <c r="B105" t="s">
        <v>120</v>
      </c>
      <c r="C105" t="s">
        <v>121</v>
      </c>
      <c r="D105" t="s">
        <v>394</v>
      </c>
      <c r="E105" t="s">
        <v>395</v>
      </c>
      <c r="F105" t="s">
        <v>38</v>
      </c>
      <c r="G105" t="s">
        <v>39</v>
      </c>
    </row>
    <row r="106" spans="1:7" x14ac:dyDescent="0.45">
      <c r="A106" t="s">
        <v>396</v>
      </c>
      <c r="B106" t="s">
        <v>397</v>
      </c>
      <c r="C106" t="s">
        <v>76</v>
      </c>
      <c r="D106" t="s">
        <v>398</v>
      </c>
      <c r="E106" t="s">
        <v>399</v>
      </c>
      <c r="F106" t="s">
        <v>38</v>
      </c>
      <c r="G106" t="s">
        <v>39</v>
      </c>
    </row>
    <row r="107" spans="1:7" x14ac:dyDescent="0.45">
      <c r="A107" t="s">
        <v>400</v>
      </c>
      <c r="B107" t="s">
        <v>401</v>
      </c>
      <c r="C107" t="s">
        <v>42</v>
      </c>
      <c r="D107" t="s">
        <v>402</v>
      </c>
      <c r="E107" t="s">
        <v>403</v>
      </c>
      <c r="F107" t="s">
        <v>38</v>
      </c>
      <c r="G107" t="s">
        <v>39</v>
      </c>
    </row>
    <row r="108" spans="1:7" x14ac:dyDescent="0.45">
      <c r="A108" t="s">
        <v>404</v>
      </c>
      <c r="B108" t="s">
        <v>187</v>
      </c>
      <c r="C108" t="s">
        <v>188</v>
      </c>
      <c r="D108" t="s">
        <v>405</v>
      </c>
      <c r="E108" t="s">
        <v>406</v>
      </c>
      <c r="F108" t="s">
        <v>38</v>
      </c>
      <c r="G108" t="s">
        <v>39</v>
      </c>
    </row>
    <row r="109" spans="1:7" x14ac:dyDescent="0.45">
      <c r="A109" t="s">
        <v>407</v>
      </c>
      <c r="B109" t="s">
        <v>56</v>
      </c>
      <c r="C109" t="s">
        <v>76</v>
      </c>
      <c r="D109" t="s">
        <v>408</v>
      </c>
      <c r="E109" t="s">
        <v>409</v>
      </c>
      <c r="F109" t="s">
        <v>38</v>
      </c>
      <c r="G109" t="s">
        <v>39</v>
      </c>
    </row>
    <row r="110" spans="1:7" x14ac:dyDescent="0.45">
      <c r="A110" t="s">
        <v>410</v>
      </c>
      <c r="B110" t="s">
        <v>41</v>
      </c>
      <c r="C110" t="s">
        <v>42</v>
      </c>
      <c r="D110" t="s">
        <v>411</v>
      </c>
      <c r="E110" t="s">
        <v>412</v>
      </c>
      <c r="F110" t="s">
        <v>63</v>
      </c>
      <c r="G110" t="s">
        <v>39</v>
      </c>
    </row>
    <row r="111" spans="1:7" x14ac:dyDescent="0.45">
      <c r="A111" t="s">
        <v>413</v>
      </c>
      <c r="B111" t="s">
        <v>414</v>
      </c>
      <c r="C111" t="s">
        <v>133</v>
      </c>
      <c r="D111" t="s">
        <v>415</v>
      </c>
      <c r="E111" t="s">
        <v>416</v>
      </c>
      <c r="F111" t="s">
        <v>38</v>
      </c>
      <c r="G111" t="s">
        <v>39</v>
      </c>
    </row>
    <row r="112" spans="1:7" x14ac:dyDescent="0.45">
      <c r="A112" t="s">
        <v>417</v>
      </c>
      <c r="B112" t="s">
        <v>418</v>
      </c>
      <c r="C112" t="s">
        <v>35</v>
      </c>
      <c r="D112" t="s">
        <v>419</v>
      </c>
      <c r="E112" t="s">
        <v>420</v>
      </c>
      <c r="F112" t="s">
        <v>38</v>
      </c>
      <c r="G112" t="s">
        <v>39</v>
      </c>
    </row>
    <row r="113" spans="1:7" x14ac:dyDescent="0.45">
      <c r="A113" t="s">
        <v>421</v>
      </c>
      <c r="B113" t="s">
        <v>167</v>
      </c>
      <c r="C113" t="s">
        <v>92</v>
      </c>
      <c r="D113" t="s">
        <v>422</v>
      </c>
      <c r="E113" t="s">
        <v>423</v>
      </c>
      <c r="F113" t="s">
        <v>38</v>
      </c>
      <c r="G113" t="s">
        <v>39</v>
      </c>
    </row>
    <row r="114" spans="1:7" x14ac:dyDescent="0.45">
      <c r="A114" t="s">
        <v>424</v>
      </c>
      <c r="B114" t="s">
        <v>96</v>
      </c>
      <c r="C114" t="s">
        <v>133</v>
      </c>
      <c r="D114" t="s">
        <v>425</v>
      </c>
      <c r="E114" t="s">
        <v>426</v>
      </c>
      <c r="F114" t="s">
        <v>38</v>
      </c>
      <c r="G114" t="s">
        <v>39</v>
      </c>
    </row>
    <row r="115" spans="1:7" x14ac:dyDescent="0.45">
      <c r="A115" t="s">
        <v>427</v>
      </c>
      <c r="B115" t="s">
        <v>159</v>
      </c>
      <c r="C115" t="s">
        <v>160</v>
      </c>
      <c r="D115" t="s">
        <v>428</v>
      </c>
      <c r="E115" t="s">
        <v>429</v>
      </c>
      <c r="F115" t="s">
        <v>38</v>
      </c>
      <c r="G115" t="s">
        <v>39</v>
      </c>
    </row>
    <row r="116" spans="1:7" x14ac:dyDescent="0.45">
      <c r="A116" t="s">
        <v>430</v>
      </c>
      <c r="B116" t="s">
        <v>104</v>
      </c>
      <c r="C116" t="s">
        <v>35</v>
      </c>
      <c r="D116" t="s">
        <v>431</v>
      </c>
      <c r="E116" t="s">
        <v>432</v>
      </c>
      <c r="F116" t="s">
        <v>38</v>
      </c>
      <c r="G116" t="s">
        <v>39</v>
      </c>
    </row>
    <row r="117" spans="1:7" x14ac:dyDescent="0.45">
      <c r="A117" t="s">
        <v>433</v>
      </c>
      <c r="B117" t="s">
        <v>120</v>
      </c>
      <c r="C117" t="s">
        <v>121</v>
      </c>
      <c r="D117" t="s">
        <v>434</v>
      </c>
      <c r="E117" t="s">
        <v>435</v>
      </c>
      <c r="F117" t="s">
        <v>38</v>
      </c>
      <c r="G117" t="s">
        <v>39</v>
      </c>
    </row>
    <row r="118" spans="1:7" x14ac:dyDescent="0.45">
      <c r="A118" t="s">
        <v>436</v>
      </c>
      <c r="B118" t="s">
        <v>80</v>
      </c>
      <c r="C118" t="s">
        <v>52</v>
      </c>
      <c r="D118" t="s">
        <v>437</v>
      </c>
      <c r="E118" t="s">
        <v>438</v>
      </c>
      <c r="F118" t="s">
        <v>38</v>
      </c>
      <c r="G118" t="s">
        <v>39</v>
      </c>
    </row>
    <row r="119" spans="1:7" x14ac:dyDescent="0.45">
      <c r="A119" t="s">
        <v>439</v>
      </c>
      <c r="B119" t="s">
        <v>56</v>
      </c>
      <c r="C119" t="s">
        <v>76</v>
      </c>
      <c r="D119" t="s">
        <v>440</v>
      </c>
      <c r="E119" t="s">
        <v>441</v>
      </c>
      <c r="F119" t="s">
        <v>38</v>
      </c>
      <c r="G119" t="s">
        <v>39</v>
      </c>
    </row>
    <row r="120" spans="1:7" x14ac:dyDescent="0.45">
      <c r="A120" t="s">
        <v>442</v>
      </c>
      <c r="B120" t="s">
        <v>80</v>
      </c>
      <c r="C120" t="s">
        <v>92</v>
      </c>
      <c r="D120" t="s">
        <v>443</v>
      </c>
      <c r="E120" t="s">
        <v>444</v>
      </c>
      <c r="F120" t="s">
        <v>38</v>
      </c>
      <c r="G120" t="s">
        <v>39</v>
      </c>
    </row>
    <row r="121" spans="1:7" x14ac:dyDescent="0.45">
      <c r="A121" t="s">
        <v>445</v>
      </c>
      <c r="B121" t="s">
        <v>46</v>
      </c>
      <c r="C121" t="s">
        <v>47</v>
      </c>
      <c r="D121" t="s">
        <v>446</v>
      </c>
      <c r="E121" t="s">
        <v>447</v>
      </c>
      <c r="F121" t="s">
        <v>38</v>
      </c>
      <c r="G121" t="s">
        <v>39</v>
      </c>
    </row>
    <row r="122" spans="1:7" x14ac:dyDescent="0.45">
      <c r="A122" t="s">
        <v>448</v>
      </c>
      <c r="B122" t="s">
        <v>80</v>
      </c>
      <c r="C122" t="s">
        <v>52</v>
      </c>
      <c r="D122" t="s">
        <v>449</v>
      </c>
      <c r="E122" t="s">
        <v>450</v>
      </c>
      <c r="F122" t="s">
        <v>38</v>
      </c>
      <c r="G122" t="s">
        <v>39</v>
      </c>
    </row>
    <row r="123" spans="1:7" x14ac:dyDescent="0.45">
      <c r="A123" t="s">
        <v>451</v>
      </c>
      <c r="B123" t="s">
        <v>418</v>
      </c>
      <c r="C123" t="s">
        <v>35</v>
      </c>
      <c r="D123" t="s">
        <v>452</v>
      </c>
      <c r="E123" t="s">
        <v>453</v>
      </c>
      <c r="F123" t="s">
        <v>38</v>
      </c>
      <c r="G123" t="s">
        <v>39</v>
      </c>
    </row>
    <row r="124" spans="1:7" x14ac:dyDescent="0.45">
      <c r="A124" t="s">
        <v>454</v>
      </c>
      <c r="B124" t="s">
        <v>70</v>
      </c>
      <c r="C124" t="s">
        <v>71</v>
      </c>
      <c r="D124" t="s">
        <v>455</v>
      </c>
      <c r="E124" t="s">
        <v>456</v>
      </c>
      <c r="F124" t="s">
        <v>38</v>
      </c>
      <c r="G124" t="s">
        <v>39</v>
      </c>
    </row>
    <row r="125" spans="1:7" x14ac:dyDescent="0.45">
      <c r="A125" t="s">
        <v>457</v>
      </c>
      <c r="B125" t="s">
        <v>104</v>
      </c>
      <c r="C125" t="s">
        <v>35</v>
      </c>
      <c r="D125" t="s">
        <v>458</v>
      </c>
      <c r="E125" t="s">
        <v>459</v>
      </c>
      <c r="F125" t="s">
        <v>38</v>
      </c>
      <c r="G125" t="s">
        <v>39</v>
      </c>
    </row>
    <row r="126" spans="1:7" x14ac:dyDescent="0.45">
      <c r="A126" t="s">
        <v>460</v>
      </c>
      <c r="B126" t="s">
        <v>111</v>
      </c>
      <c r="C126" t="s">
        <v>112</v>
      </c>
      <c r="D126" t="s">
        <v>461</v>
      </c>
      <c r="E126" t="s">
        <v>462</v>
      </c>
      <c r="F126" t="s">
        <v>38</v>
      </c>
      <c r="G126" t="s">
        <v>39</v>
      </c>
    </row>
    <row r="127" spans="1:7" x14ac:dyDescent="0.45">
      <c r="A127" t="s">
        <v>463</v>
      </c>
      <c r="B127" t="s">
        <v>120</v>
      </c>
      <c r="C127" t="s">
        <v>121</v>
      </c>
      <c r="D127" t="s">
        <v>464</v>
      </c>
      <c r="E127" t="s">
        <v>465</v>
      </c>
      <c r="F127" t="s">
        <v>38</v>
      </c>
      <c r="G127" t="s">
        <v>39</v>
      </c>
    </row>
    <row r="128" spans="1:7" x14ac:dyDescent="0.45">
      <c r="A128" t="s">
        <v>466</v>
      </c>
      <c r="B128" t="s">
        <v>70</v>
      </c>
      <c r="C128" t="s">
        <v>71</v>
      </c>
      <c r="D128" t="s">
        <v>467</v>
      </c>
      <c r="E128" t="s">
        <v>468</v>
      </c>
      <c r="F128" t="s">
        <v>38</v>
      </c>
      <c r="G128" t="s">
        <v>39</v>
      </c>
    </row>
    <row r="129" spans="1:7" x14ac:dyDescent="0.45">
      <c r="A129" t="s">
        <v>469</v>
      </c>
      <c r="B129" t="s">
        <v>70</v>
      </c>
      <c r="C129" t="s">
        <v>71</v>
      </c>
      <c r="D129" t="s">
        <v>470</v>
      </c>
      <c r="E129" t="s">
        <v>471</v>
      </c>
      <c r="F129" t="s">
        <v>38</v>
      </c>
      <c r="G129" t="s">
        <v>39</v>
      </c>
    </row>
    <row r="130" spans="1:7" x14ac:dyDescent="0.45">
      <c r="A130" t="s">
        <v>472</v>
      </c>
      <c r="B130" t="s">
        <v>70</v>
      </c>
      <c r="C130" t="s">
        <v>71</v>
      </c>
      <c r="D130" t="s">
        <v>473</v>
      </c>
      <c r="E130" t="s">
        <v>474</v>
      </c>
      <c r="F130" t="s">
        <v>38</v>
      </c>
      <c r="G130" t="s">
        <v>39</v>
      </c>
    </row>
    <row r="131" spans="1:7" x14ac:dyDescent="0.45">
      <c r="A131" t="s">
        <v>475</v>
      </c>
      <c r="B131" t="s">
        <v>104</v>
      </c>
      <c r="C131" t="s">
        <v>35</v>
      </c>
      <c r="D131" t="s">
        <v>476</v>
      </c>
      <c r="E131" t="s">
        <v>477</v>
      </c>
      <c r="F131" t="s">
        <v>38</v>
      </c>
      <c r="G131" t="s">
        <v>39</v>
      </c>
    </row>
    <row r="132" spans="1:7" x14ac:dyDescent="0.45">
      <c r="A132" t="s">
        <v>478</v>
      </c>
      <c r="B132" t="s">
        <v>120</v>
      </c>
      <c r="C132" t="s">
        <v>121</v>
      </c>
      <c r="D132" t="s">
        <v>479</v>
      </c>
      <c r="E132" t="s">
        <v>480</v>
      </c>
      <c r="F132" t="s">
        <v>38</v>
      </c>
      <c r="G132" t="s">
        <v>39</v>
      </c>
    </row>
    <row r="133" spans="1:7" x14ac:dyDescent="0.45">
      <c r="A133" t="s">
        <v>481</v>
      </c>
      <c r="B133" t="s">
        <v>159</v>
      </c>
      <c r="C133" t="s">
        <v>160</v>
      </c>
      <c r="D133" t="s">
        <v>482</v>
      </c>
      <c r="E133" t="s">
        <v>483</v>
      </c>
      <c r="F133" t="s">
        <v>38</v>
      </c>
      <c r="G133" t="s">
        <v>39</v>
      </c>
    </row>
    <row r="134" spans="1:7" x14ac:dyDescent="0.45">
      <c r="A134" t="s">
        <v>484</v>
      </c>
      <c r="B134" t="s">
        <v>167</v>
      </c>
      <c r="C134" t="s">
        <v>52</v>
      </c>
      <c r="D134" t="s">
        <v>485</v>
      </c>
      <c r="E134" t="s">
        <v>486</v>
      </c>
      <c r="F134" t="s">
        <v>38</v>
      </c>
      <c r="G134" t="s">
        <v>39</v>
      </c>
    </row>
    <row r="135" spans="1:7" x14ac:dyDescent="0.45">
      <c r="A135" t="s">
        <v>487</v>
      </c>
      <c r="B135" t="s">
        <v>70</v>
      </c>
      <c r="C135" t="s">
        <v>71</v>
      </c>
      <c r="D135" t="s">
        <v>488</v>
      </c>
      <c r="E135" t="s">
        <v>489</v>
      </c>
      <c r="F135" t="s">
        <v>38</v>
      </c>
      <c r="G135" t="s">
        <v>39</v>
      </c>
    </row>
    <row r="136" spans="1:7" x14ac:dyDescent="0.45">
      <c r="A136" t="s">
        <v>490</v>
      </c>
      <c r="B136" t="s">
        <v>167</v>
      </c>
      <c r="C136" t="s">
        <v>88</v>
      </c>
      <c r="D136" t="s">
        <v>491</v>
      </c>
      <c r="E136" t="s">
        <v>492</v>
      </c>
      <c r="F136" t="s">
        <v>38</v>
      </c>
      <c r="G136" t="s">
        <v>39</v>
      </c>
    </row>
    <row r="137" spans="1:7" x14ac:dyDescent="0.45">
      <c r="A137" t="s">
        <v>493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D2E2A-DD93-4D3D-B577-20791E4598BA}">
  <dimension ref="A1:G136"/>
  <sheetViews>
    <sheetView showGridLines="0" tabSelected="1" topLeftCell="A13" workbookViewId="0">
      <selection activeCell="K20" sqref="K20"/>
    </sheetView>
  </sheetViews>
  <sheetFormatPr defaultRowHeight="14.25" x14ac:dyDescent="0.45"/>
  <cols>
    <col min="1" max="1" width="19.73046875" bestFit="1" customWidth="1"/>
    <col min="2" max="2" width="33.73046875" bestFit="1" customWidth="1"/>
    <col min="3" max="3" width="32.86328125" bestFit="1" customWidth="1"/>
    <col min="4" max="4" width="12.73046875" bestFit="1" customWidth="1"/>
    <col min="5" max="5" width="35.59765625" bestFit="1" customWidth="1"/>
    <col min="6" max="6" width="15.265625" bestFit="1" customWidth="1"/>
    <col min="7" max="7" width="9.265625" bestFit="1" customWidth="1"/>
  </cols>
  <sheetData>
    <row r="1" spans="1:7" x14ac:dyDescent="0.45">
      <c r="A1" s="31" t="s">
        <v>494</v>
      </c>
      <c r="B1" s="32" t="s">
        <v>27</v>
      </c>
      <c r="C1" s="32" t="s">
        <v>28</v>
      </c>
      <c r="D1" s="32" t="s">
        <v>29</v>
      </c>
      <c r="E1" s="32" t="s">
        <v>30</v>
      </c>
      <c r="F1" s="32" t="s">
        <v>31</v>
      </c>
      <c r="G1" s="33" t="s">
        <v>32</v>
      </c>
    </row>
    <row r="2" spans="1:7" x14ac:dyDescent="0.45">
      <c r="A2" s="5" t="s">
        <v>33</v>
      </c>
      <c r="B2" s="6" t="str">
        <f>"Help Desk Supervisor"</f>
        <v>Help Desk Supervisor</v>
      </c>
      <c r="C2" s="6" t="str">
        <f>"IT-Help Desk"</f>
        <v>IT-Help Desk</v>
      </c>
      <c r="D2" s="6" t="s">
        <v>36</v>
      </c>
      <c r="E2" s="6" t="s">
        <v>37</v>
      </c>
      <c r="F2" s="6" t="s">
        <v>38</v>
      </c>
      <c r="G2" s="7" t="s">
        <v>39</v>
      </c>
    </row>
    <row r="3" spans="1:7" x14ac:dyDescent="0.45">
      <c r="A3" s="5" t="s">
        <v>40</v>
      </c>
      <c r="B3" s="6" t="str">
        <f>"Project Manager"</f>
        <v>Project Manager</v>
      </c>
      <c r="C3" s="6" t="str">
        <f>"IT- PMO"</f>
        <v>IT- PMO</v>
      </c>
      <c r="D3" s="6" t="s">
        <v>43</v>
      </c>
      <c r="E3" s="6" t="s">
        <v>44</v>
      </c>
      <c r="F3" s="6" t="s">
        <v>38</v>
      </c>
      <c r="G3" s="7" t="s">
        <v>39</v>
      </c>
    </row>
    <row r="4" spans="1:7" x14ac:dyDescent="0.45">
      <c r="A4" s="5" t="s">
        <v>45</v>
      </c>
      <c r="B4" s="6" t="str">
        <f>"Technical Project Lead"</f>
        <v>Technical Project Lead</v>
      </c>
      <c r="C4" s="6" t="str">
        <f>"IT-Application Development"</f>
        <v>IT-Application Development</v>
      </c>
      <c r="D4" s="6" t="s">
        <v>48</v>
      </c>
      <c r="E4" s="6" t="s">
        <v>49</v>
      </c>
      <c r="F4" s="6" t="s">
        <v>38</v>
      </c>
      <c r="G4" s="7" t="s">
        <v>39</v>
      </c>
    </row>
    <row r="5" spans="1:7" x14ac:dyDescent="0.45">
      <c r="A5" s="5" t="s">
        <v>50</v>
      </c>
      <c r="B5" s="6" t="s">
        <v>51</v>
      </c>
      <c r="C5" s="6" t="str">
        <f>"IT Retail BSM "</f>
        <v xml:space="preserve">IT Retail BSM </v>
      </c>
      <c r="D5" s="6" t="s">
        <v>53</v>
      </c>
      <c r="E5" s="6" t="s">
        <v>54</v>
      </c>
      <c r="F5" s="6" t="s">
        <v>38</v>
      </c>
      <c r="G5" s="7" t="s">
        <v>39</v>
      </c>
    </row>
    <row r="6" spans="1:7" x14ac:dyDescent="0.45">
      <c r="A6" s="5" t="s">
        <v>55</v>
      </c>
      <c r="B6" s="6" t="s">
        <v>56</v>
      </c>
      <c r="C6" s="6" t="str">
        <f>"Reasor's Support and Retail- 9016"</f>
        <v>Reasor's Support and Retail- 9016</v>
      </c>
      <c r="D6" s="6" t="s">
        <v>58</v>
      </c>
      <c r="E6" s="6" t="s">
        <v>59</v>
      </c>
      <c r="F6" s="6" t="s">
        <v>38</v>
      </c>
      <c r="G6" s="7" t="s">
        <v>39</v>
      </c>
    </row>
    <row r="7" spans="1:7" x14ac:dyDescent="0.45">
      <c r="A7" s="8" t="s">
        <v>60</v>
      </c>
      <c r="B7" s="9" t="s">
        <v>41</v>
      </c>
      <c r="C7" s="6" t="str">
        <f>"IT- PMO"</f>
        <v>IT- PMO</v>
      </c>
      <c r="D7" s="6" t="s">
        <v>61</v>
      </c>
      <c r="E7" s="6" t="s">
        <v>62</v>
      </c>
      <c r="F7" s="6" t="s">
        <v>63</v>
      </c>
      <c r="G7" s="7" t="s">
        <v>39</v>
      </c>
    </row>
    <row r="8" spans="1:7" x14ac:dyDescent="0.45">
      <c r="A8" s="5" t="s">
        <v>64</v>
      </c>
      <c r="B8" s="6" t="str">
        <f>"Information Security Analyst"</f>
        <v>Information Security Analyst</v>
      </c>
      <c r="C8" s="6" t="str">
        <f>"IT- Security"</f>
        <v>IT- Security</v>
      </c>
      <c r="D8" s="6" t="s">
        <v>67</v>
      </c>
      <c r="E8" s="6" t="s">
        <v>68</v>
      </c>
      <c r="F8" s="6" t="s">
        <v>38</v>
      </c>
      <c r="G8" s="7" t="s">
        <v>39</v>
      </c>
    </row>
    <row r="9" spans="1:7" x14ac:dyDescent="0.45">
      <c r="A9" s="5" t="s">
        <v>69</v>
      </c>
      <c r="B9" s="6" t="s">
        <v>70</v>
      </c>
      <c r="C9" s="6" t="s">
        <v>71</v>
      </c>
      <c r="D9" s="6" t="s">
        <v>72</v>
      </c>
      <c r="E9" s="6" t="s">
        <v>73</v>
      </c>
      <c r="F9" s="6" t="s">
        <v>38</v>
      </c>
      <c r="G9" s="7" t="s">
        <v>39</v>
      </c>
    </row>
    <row r="10" spans="1:7" x14ac:dyDescent="0.45">
      <c r="A10" s="5" t="s">
        <v>74</v>
      </c>
      <c r="B10" s="6" t="s">
        <v>75</v>
      </c>
      <c r="C10" s="6" t="str">
        <f>"IT- End Point"</f>
        <v>IT- End Point</v>
      </c>
      <c r="D10" s="6" t="s">
        <v>77</v>
      </c>
      <c r="E10" s="6" t="s">
        <v>78</v>
      </c>
      <c r="F10" s="6" t="s">
        <v>38</v>
      </c>
      <c r="G10" s="7" t="s">
        <v>39</v>
      </c>
    </row>
    <row r="11" spans="1:7" x14ac:dyDescent="0.45">
      <c r="A11" s="5" t="s">
        <v>79</v>
      </c>
      <c r="B11" s="6" t="s">
        <v>80</v>
      </c>
      <c r="C11" s="6" t="str">
        <f>"IT Retail BSM "</f>
        <v xml:space="preserve">IT Retail BSM </v>
      </c>
      <c r="D11" s="6" t="s">
        <v>81</v>
      </c>
      <c r="E11" s="6" t="s">
        <v>82</v>
      </c>
      <c r="F11" s="6" t="s">
        <v>38</v>
      </c>
      <c r="G11" s="7" t="s">
        <v>39</v>
      </c>
    </row>
    <row r="12" spans="1:7" x14ac:dyDescent="0.45">
      <c r="A12" s="5" t="s">
        <v>83</v>
      </c>
      <c r="B12" s="6" t="s">
        <v>56</v>
      </c>
      <c r="C12" s="6" t="str">
        <f>"IT- End Point"</f>
        <v>IT- End Point</v>
      </c>
      <c r="D12" s="6" t="s">
        <v>84</v>
      </c>
      <c r="E12" s="6" t="s">
        <v>85</v>
      </c>
      <c r="F12" s="6" t="s">
        <v>38</v>
      </c>
      <c r="G12" s="7" t="s">
        <v>86</v>
      </c>
    </row>
    <row r="13" spans="1:7" x14ac:dyDescent="0.45">
      <c r="A13" s="5" t="s">
        <v>87</v>
      </c>
      <c r="B13" s="6" t="str">
        <f>"Business System Analyst"</f>
        <v>Business System Analyst</v>
      </c>
      <c r="C13" s="6" t="str">
        <f>"IT-FI BSM"</f>
        <v>IT-FI BSM</v>
      </c>
      <c r="D13" s="6" t="s">
        <v>89</v>
      </c>
      <c r="E13" s="6" t="s">
        <v>90</v>
      </c>
      <c r="F13" s="6" t="s">
        <v>38</v>
      </c>
      <c r="G13" s="7" t="s">
        <v>39</v>
      </c>
    </row>
    <row r="14" spans="1:7" x14ac:dyDescent="0.45">
      <c r="A14" s="5" t="s">
        <v>91</v>
      </c>
      <c r="B14" s="6" t="s">
        <v>80</v>
      </c>
      <c r="C14" s="6" t="str">
        <f>"IT-SC BSM"</f>
        <v>IT-SC BSM</v>
      </c>
      <c r="D14" s="6" t="s">
        <v>93</v>
      </c>
      <c r="E14" s="3" t="s">
        <v>94</v>
      </c>
      <c r="F14" s="6" t="s">
        <v>38</v>
      </c>
      <c r="G14" s="7" t="s">
        <v>39</v>
      </c>
    </row>
    <row r="15" spans="1:7" x14ac:dyDescent="0.45">
      <c r="A15" s="5" t="s">
        <v>95</v>
      </c>
      <c r="B15" s="6" t="s">
        <v>96</v>
      </c>
      <c r="C15" s="6" t="s">
        <v>76</v>
      </c>
      <c r="D15" s="6" t="s">
        <v>97</v>
      </c>
      <c r="E15" s="3" t="s">
        <v>98</v>
      </c>
      <c r="F15" s="6" t="s">
        <v>38</v>
      </c>
      <c r="G15" s="7" t="s">
        <v>39</v>
      </c>
    </row>
    <row r="16" spans="1:7" x14ac:dyDescent="0.45">
      <c r="A16" s="5" t="s">
        <v>99</v>
      </c>
      <c r="B16" s="6" t="str">
        <f>"Enterprise Endpoint Manager"</f>
        <v>Enterprise Endpoint Manager</v>
      </c>
      <c r="C16" s="6" t="str">
        <f>"IT- End Point"</f>
        <v>IT- End Point</v>
      </c>
      <c r="D16" s="6" t="s">
        <v>101</v>
      </c>
      <c r="E16" s="6" t="s">
        <v>102</v>
      </c>
      <c r="F16" s="6" t="s">
        <v>38</v>
      </c>
      <c r="G16" s="7" t="s">
        <v>39</v>
      </c>
    </row>
    <row r="17" spans="1:7" x14ac:dyDescent="0.45">
      <c r="A17" s="5" t="s">
        <v>103</v>
      </c>
      <c r="B17" s="6" t="s">
        <v>104</v>
      </c>
      <c r="C17" s="6" t="str">
        <f>"IT-Help Desk"</f>
        <v>IT-Help Desk</v>
      </c>
      <c r="D17" s="6" t="s">
        <v>105</v>
      </c>
      <c r="E17" s="6" t="s">
        <v>106</v>
      </c>
      <c r="F17" s="6" t="s">
        <v>38</v>
      </c>
      <c r="G17" s="7" t="s">
        <v>39</v>
      </c>
    </row>
    <row r="18" spans="1:7" x14ac:dyDescent="0.45">
      <c r="A18" s="8" t="s">
        <v>107</v>
      </c>
      <c r="B18" s="9" t="s">
        <v>41</v>
      </c>
      <c r="C18" s="6" t="str">
        <f>"IT- PMO"</f>
        <v>IT- PMO</v>
      </c>
      <c r="D18" s="6" t="s">
        <v>108</v>
      </c>
      <c r="E18" s="6" t="s">
        <v>109</v>
      </c>
      <c r="F18" s="6" t="s">
        <v>63</v>
      </c>
      <c r="G18" s="7" t="s">
        <v>39</v>
      </c>
    </row>
    <row r="19" spans="1:7" x14ac:dyDescent="0.45">
      <c r="A19" s="5" t="s">
        <v>110</v>
      </c>
      <c r="B19" s="6" t="str">
        <f>"Business Systems Analyst "</f>
        <v xml:space="preserve">Business Systems Analyst </v>
      </c>
      <c r="C19" s="6" t="str">
        <f>"IT-Marketing BSM"</f>
        <v>IT-Marketing BSM</v>
      </c>
      <c r="D19" s="6" t="s">
        <v>113</v>
      </c>
      <c r="E19" s="6" t="s">
        <v>114</v>
      </c>
      <c r="F19" s="6" t="s">
        <v>38</v>
      </c>
      <c r="G19" s="7" t="s">
        <v>39</v>
      </c>
    </row>
    <row r="20" spans="1:7" x14ac:dyDescent="0.45">
      <c r="A20" s="5" t="s">
        <v>115</v>
      </c>
      <c r="B20" s="6" t="s">
        <v>116</v>
      </c>
      <c r="C20" s="6" t="str">
        <f>"Reasor's Support and Retail- 9016"</f>
        <v>Reasor's Support and Retail- 9016</v>
      </c>
      <c r="D20" s="6" t="s">
        <v>117</v>
      </c>
      <c r="E20" s="6" t="s">
        <v>118</v>
      </c>
      <c r="F20" s="6" t="s">
        <v>38</v>
      </c>
      <c r="G20" s="7" t="s">
        <v>39</v>
      </c>
    </row>
    <row r="21" spans="1:7" x14ac:dyDescent="0.45">
      <c r="A21" s="5" t="s">
        <v>119</v>
      </c>
      <c r="B21" s="6" t="s">
        <v>120</v>
      </c>
      <c r="C21" s="6" t="str">
        <f>"IT Services (RTS)"</f>
        <v>IT Services (RTS)</v>
      </c>
      <c r="D21" s="6" t="s">
        <v>122</v>
      </c>
      <c r="E21" s="6" t="s">
        <v>123</v>
      </c>
      <c r="F21" s="6" t="s">
        <v>38</v>
      </c>
      <c r="G21" s="7" t="s">
        <v>39</v>
      </c>
    </row>
    <row r="22" spans="1:7" x14ac:dyDescent="0.45">
      <c r="A22" s="5" t="s">
        <v>124</v>
      </c>
      <c r="B22" s="6" t="str">
        <f>"Help Desk Manager"</f>
        <v>Help Desk Manager</v>
      </c>
      <c r="C22" s="6" t="str">
        <f>"IT-Help Desk"</f>
        <v>IT-Help Desk</v>
      </c>
      <c r="D22" s="6" t="s">
        <v>126</v>
      </c>
      <c r="E22" s="6" t="s">
        <v>127</v>
      </c>
      <c r="F22" s="6" t="s">
        <v>38</v>
      </c>
      <c r="G22" s="7" t="s">
        <v>39</v>
      </c>
    </row>
    <row r="23" spans="1:7" x14ac:dyDescent="0.45">
      <c r="A23" s="5" t="s">
        <v>128</v>
      </c>
      <c r="B23" s="6" t="s">
        <v>129</v>
      </c>
      <c r="C23" s="6" t="s">
        <v>35</v>
      </c>
      <c r="D23" s="6" t="s">
        <v>130</v>
      </c>
      <c r="E23" s="6" t="s">
        <v>131</v>
      </c>
      <c r="F23" s="6" t="s">
        <v>38</v>
      </c>
      <c r="G23" s="7" t="s">
        <v>39</v>
      </c>
    </row>
    <row r="24" spans="1:7" x14ac:dyDescent="0.45">
      <c r="A24" s="5" t="s">
        <v>132</v>
      </c>
      <c r="B24" s="6" t="str">
        <f>"Systems Administrator"</f>
        <v>Systems Administrator</v>
      </c>
      <c r="C24" s="6" t="str">
        <f>"IT- Technical Support management"</f>
        <v>IT- Technical Support management</v>
      </c>
      <c r="D24" s="6" t="s">
        <v>134</v>
      </c>
      <c r="E24" s="6" t="s">
        <v>135</v>
      </c>
      <c r="F24" s="6" t="s">
        <v>38</v>
      </c>
      <c r="G24" s="7" t="s">
        <v>39</v>
      </c>
    </row>
    <row r="25" spans="1:7" x14ac:dyDescent="0.45">
      <c r="A25" s="5" t="s">
        <v>136</v>
      </c>
      <c r="B25" s="6" t="s">
        <v>80</v>
      </c>
      <c r="C25" s="6" t="str">
        <f>"IT Retail BSM "</f>
        <v xml:space="preserve">IT Retail BSM </v>
      </c>
      <c r="D25" s="6" t="s">
        <v>137</v>
      </c>
      <c r="E25" s="6" t="s">
        <v>138</v>
      </c>
      <c r="F25" s="6" t="s">
        <v>38</v>
      </c>
      <c r="G25" s="7" t="s">
        <v>39</v>
      </c>
    </row>
    <row r="26" spans="1:7" x14ac:dyDescent="0.45">
      <c r="A26" s="5" t="s">
        <v>139</v>
      </c>
      <c r="B26" s="6" t="str">
        <f>"Technical Project Lead"</f>
        <v>Technical Project Lead</v>
      </c>
      <c r="C26" s="6" t="str">
        <f>"IT-Application Development"</f>
        <v>IT-Application Development</v>
      </c>
      <c r="D26" s="6" t="s">
        <v>140</v>
      </c>
      <c r="E26" s="6" t="s">
        <v>141</v>
      </c>
      <c r="F26" s="6" t="s">
        <v>38</v>
      </c>
      <c r="G26" s="7" t="s">
        <v>39</v>
      </c>
    </row>
    <row r="27" spans="1:7" x14ac:dyDescent="0.45">
      <c r="A27" s="5" t="s">
        <v>142</v>
      </c>
      <c r="B27" s="6" t="s">
        <v>70</v>
      </c>
      <c r="C27" s="6" t="s">
        <v>71</v>
      </c>
      <c r="D27" s="6" t="s">
        <v>143</v>
      </c>
      <c r="E27" s="6" t="s">
        <v>144</v>
      </c>
      <c r="F27" s="6" t="s">
        <v>38</v>
      </c>
      <c r="G27" s="7" t="s">
        <v>39</v>
      </c>
    </row>
    <row r="28" spans="1:7" x14ac:dyDescent="0.45">
      <c r="A28" s="5" t="s">
        <v>145</v>
      </c>
      <c r="B28" s="6" t="s">
        <v>80</v>
      </c>
      <c r="C28" s="6" t="str">
        <f>"IT Retail BSM "</f>
        <v xml:space="preserve">IT Retail BSM </v>
      </c>
      <c r="D28" s="6" t="s">
        <v>146</v>
      </c>
      <c r="E28" s="6" t="s">
        <v>147</v>
      </c>
      <c r="F28" s="6" t="s">
        <v>38</v>
      </c>
      <c r="G28" s="7" t="s">
        <v>39</v>
      </c>
    </row>
    <row r="29" spans="1:7" x14ac:dyDescent="0.45">
      <c r="A29" s="5" t="s">
        <v>148</v>
      </c>
      <c r="B29" s="6" t="str">
        <f>"Application Development Manager"</f>
        <v>Application Development Manager</v>
      </c>
      <c r="C29" s="6" t="str">
        <f>"IT-Application Development"</f>
        <v>IT-Application Development</v>
      </c>
      <c r="D29" s="6" t="s">
        <v>150</v>
      </c>
      <c r="E29" s="6" t="s">
        <v>151</v>
      </c>
      <c r="F29" s="6" t="s">
        <v>38</v>
      </c>
      <c r="G29" s="7" t="s">
        <v>39</v>
      </c>
    </row>
    <row r="30" spans="1:7" x14ac:dyDescent="0.45">
      <c r="A30" s="5" t="s">
        <v>152</v>
      </c>
      <c r="B30" s="6" t="s">
        <v>56</v>
      </c>
      <c r="C30" s="6" t="str">
        <f>"Reasor's Support and Retail- 9016"</f>
        <v>Reasor's Support and Retail- 9016</v>
      </c>
      <c r="D30" s="6" t="s">
        <v>153</v>
      </c>
      <c r="E30" s="6" t="s">
        <v>154</v>
      </c>
      <c r="F30" s="6" t="s">
        <v>38</v>
      </c>
      <c r="G30" s="7" t="s">
        <v>39</v>
      </c>
    </row>
    <row r="31" spans="1:7" x14ac:dyDescent="0.45">
      <c r="A31" s="5" t="s">
        <v>155</v>
      </c>
      <c r="B31" s="6" t="s">
        <v>80</v>
      </c>
      <c r="C31" s="6" t="str">
        <f>"IT-SC BSM"</f>
        <v>IT-SC BSM</v>
      </c>
      <c r="D31" s="6" t="s">
        <v>156</v>
      </c>
      <c r="E31" s="6" t="s">
        <v>157</v>
      </c>
      <c r="F31" s="6" t="s">
        <v>38</v>
      </c>
      <c r="G31" s="7" t="s">
        <v>39</v>
      </c>
    </row>
    <row r="32" spans="1:7" x14ac:dyDescent="0.45">
      <c r="A32" s="5" t="s">
        <v>158</v>
      </c>
      <c r="B32" s="6" t="str">
        <f>"Network Systems Analyst"</f>
        <v>Network Systems Analyst</v>
      </c>
      <c r="C32" s="6" t="str">
        <f>"IT- Network"</f>
        <v>IT- Network</v>
      </c>
      <c r="D32" s="6" t="s">
        <v>161</v>
      </c>
      <c r="E32" s="6" t="s">
        <v>162</v>
      </c>
      <c r="F32" s="6" t="s">
        <v>38</v>
      </c>
      <c r="G32" s="7" t="s">
        <v>39</v>
      </c>
    </row>
    <row r="33" spans="1:7" x14ac:dyDescent="0.45">
      <c r="A33" s="5" t="s">
        <v>163</v>
      </c>
      <c r="B33" s="6" t="s">
        <v>56</v>
      </c>
      <c r="C33" s="6" t="str">
        <f>"IT- End Point"</f>
        <v>IT- End Point</v>
      </c>
      <c r="D33" s="6" t="s">
        <v>164</v>
      </c>
      <c r="E33" s="6" t="s">
        <v>165</v>
      </c>
      <c r="F33" s="6" t="s">
        <v>38</v>
      </c>
      <c r="G33" s="7" t="s">
        <v>39</v>
      </c>
    </row>
    <row r="34" spans="1:7" x14ac:dyDescent="0.45">
      <c r="A34" s="5" t="s">
        <v>166</v>
      </c>
      <c r="B34" s="6" t="str">
        <f>"Business Systems Analyst"</f>
        <v>Business Systems Analyst</v>
      </c>
      <c r="C34" s="6" t="str">
        <f>"IT- HR BSM"</f>
        <v>IT- HR BSM</v>
      </c>
      <c r="D34" s="6" t="s">
        <v>169</v>
      </c>
      <c r="E34" s="6" t="s">
        <v>170</v>
      </c>
      <c r="F34" s="6" t="s">
        <v>38</v>
      </c>
      <c r="G34" s="7" t="s">
        <v>39</v>
      </c>
    </row>
    <row r="35" spans="1:7" x14ac:dyDescent="0.45">
      <c r="A35" s="5" t="s">
        <v>171</v>
      </c>
      <c r="B35" s="6" t="s">
        <v>172</v>
      </c>
      <c r="C35" s="6" t="str">
        <f>"IT-SC BSM"</f>
        <v>IT-SC BSM</v>
      </c>
      <c r="D35" s="6" t="s">
        <v>173</v>
      </c>
      <c r="E35" s="6" t="s">
        <v>174</v>
      </c>
      <c r="F35" s="6" t="s">
        <v>38</v>
      </c>
      <c r="G35" s="7" t="s">
        <v>86</v>
      </c>
    </row>
    <row r="36" spans="1:7" x14ac:dyDescent="0.45">
      <c r="A36" s="5" t="s">
        <v>180</v>
      </c>
      <c r="B36" s="6" t="s">
        <v>70</v>
      </c>
      <c r="C36" s="6" t="s">
        <v>71</v>
      </c>
      <c r="D36" s="6" t="s">
        <v>181</v>
      </c>
      <c r="E36" s="6" t="s">
        <v>182</v>
      </c>
      <c r="F36" s="6" t="s">
        <v>38</v>
      </c>
      <c r="G36" s="7" t="s">
        <v>39</v>
      </c>
    </row>
    <row r="37" spans="1:7" x14ac:dyDescent="0.45">
      <c r="A37" s="5" t="s">
        <v>183</v>
      </c>
      <c r="B37" s="6" t="s">
        <v>70</v>
      </c>
      <c r="C37" s="6" t="str">
        <f>"IT-Training"</f>
        <v>IT-Training</v>
      </c>
      <c r="D37" s="6" t="s">
        <v>184</v>
      </c>
      <c r="E37" s="6" t="s">
        <v>185</v>
      </c>
      <c r="F37" s="6" t="s">
        <v>38</v>
      </c>
      <c r="G37" s="7" t="s">
        <v>39</v>
      </c>
    </row>
    <row r="38" spans="1:7" x14ac:dyDescent="0.45">
      <c r="A38" s="5" t="s">
        <v>186</v>
      </c>
      <c r="B38" s="6" t="s">
        <v>187</v>
      </c>
      <c r="C38" s="6" t="s">
        <v>188</v>
      </c>
      <c r="D38" s="6" t="s">
        <v>189</v>
      </c>
      <c r="E38" s="6" t="s">
        <v>190</v>
      </c>
      <c r="F38" s="6" t="s">
        <v>38</v>
      </c>
      <c r="G38" s="7" t="s">
        <v>39</v>
      </c>
    </row>
    <row r="39" spans="1:7" x14ac:dyDescent="0.45">
      <c r="A39" s="5" t="s">
        <v>191</v>
      </c>
      <c r="B39" s="6" t="s">
        <v>192</v>
      </c>
      <c r="C39" s="6" t="str">
        <f>"IT- Security"</f>
        <v>IT- Security</v>
      </c>
      <c r="D39" s="6" t="s">
        <v>193</v>
      </c>
      <c r="E39" s="6" t="s">
        <v>194</v>
      </c>
      <c r="F39" s="6" t="s">
        <v>38</v>
      </c>
      <c r="G39" s="7" t="s">
        <v>39</v>
      </c>
    </row>
    <row r="40" spans="1:7" x14ac:dyDescent="0.45">
      <c r="A40" s="5" t="s">
        <v>195</v>
      </c>
      <c r="B40" s="6" t="str">
        <f>"Help Desk Analyst"</f>
        <v>Help Desk Analyst</v>
      </c>
      <c r="C40" s="6" t="str">
        <f>"IT-Help Desk"</f>
        <v>IT-Help Desk</v>
      </c>
      <c r="D40" s="6" t="s">
        <v>196</v>
      </c>
      <c r="E40" s="6" t="s">
        <v>197</v>
      </c>
      <c r="F40" s="6" t="s">
        <v>38</v>
      </c>
      <c r="G40" s="7" t="s">
        <v>39</v>
      </c>
    </row>
    <row r="41" spans="1:7" x14ac:dyDescent="0.45">
      <c r="A41" s="5" t="s">
        <v>198</v>
      </c>
      <c r="B41" s="6" t="s">
        <v>75</v>
      </c>
      <c r="C41" s="6" t="str">
        <f>"IT- End Point"</f>
        <v>IT- End Point</v>
      </c>
      <c r="D41" s="6" t="s">
        <v>199</v>
      </c>
      <c r="E41" s="6" t="s">
        <v>200</v>
      </c>
      <c r="F41" s="6" t="s">
        <v>38</v>
      </c>
      <c r="G41" s="7" t="s">
        <v>39</v>
      </c>
    </row>
    <row r="42" spans="1:7" x14ac:dyDescent="0.45">
      <c r="A42" s="5" t="s">
        <v>201</v>
      </c>
      <c r="B42" s="6" t="str">
        <f>"Help Desk Analyst"</f>
        <v>Help Desk Analyst</v>
      </c>
      <c r="C42" s="6" t="str">
        <f>"IT-Help Desk"</f>
        <v>IT-Help Desk</v>
      </c>
      <c r="D42" s="6" t="s">
        <v>202</v>
      </c>
      <c r="E42" s="6" t="s">
        <v>203</v>
      </c>
      <c r="F42" s="6" t="s">
        <v>38</v>
      </c>
      <c r="G42" s="7" t="s">
        <v>39</v>
      </c>
    </row>
    <row r="43" spans="1:7" x14ac:dyDescent="0.45">
      <c r="A43" s="5" t="s">
        <v>204</v>
      </c>
      <c r="B43" s="6" t="s">
        <v>205</v>
      </c>
      <c r="C43" s="6" t="s">
        <v>188</v>
      </c>
      <c r="D43" s="6" t="s">
        <v>206</v>
      </c>
      <c r="E43" s="6" t="s">
        <v>207</v>
      </c>
      <c r="F43" s="6" t="s">
        <v>38</v>
      </c>
      <c r="G43" s="7" t="s">
        <v>39</v>
      </c>
    </row>
    <row r="44" spans="1:7" x14ac:dyDescent="0.45">
      <c r="A44" s="5" t="s">
        <v>208</v>
      </c>
      <c r="B44" s="6" t="s">
        <v>70</v>
      </c>
      <c r="C44" s="6" t="str">
        <f>"IT-Training"</f>
        <v>IT-Training</v>
      </c>
      <c r="D44" s="6" t="s">
        <v>209</v>
      </c>
      <c r="E44" s="6" t="s">
        <v>210</v>
      </c>
      <c r="F44" s="6" t="s">
        <v>38</v>
      </c>
      <c r="G44" s="7" t="s">
        <v>39</v>
      </c>
    </row>
    <row r="45" spans="1:7" x14ac:dyDescent="0.45">
      <c r="A45" s="5" t="s">
        <v>211</v>
      </c>
      <c r="B45" s="6" t="str">
        <f>"Solution Architect"</f>
        <v>Solution Architect</v>
      </c>
      <c r="C45" s="6" t="str">
        <f>"IT-Enterprise Architect"</f>
        <v>IT-Enterprise Architect</v>
      </c>
      <c r="D45" s="6" t="s">
        <v>214</v>
      </c>
      <c r="E45" s="6" t="s">
        <v>215</v>
      </c>
      <c r="F45" s="6" t="s">
        <v>38</v>
      </c>
      <c r="G45" s="7" t="s">
        <v>39</v>
      </c>
    </row>
    <row r="46" spans="1:7" x14ac:dyDescent="0.45">
      <c r="A46" s="5" t="s">
        <v>216</v>
      </c>
      <c r="B46" s="6" t="s">
        <v>167</v>
      </c>
      <c r="C46" s="6" t="str">
        <f>"IT- HR BSM"</f>
        <v>IT- HR BSM</v>
      </c>
      <c r="D46" s="6" t="s">
        <v>217</v>
      </c>
      <c r="E46" s="6" t="s">
        <v>218</v>
      </c>
      <c r="F46" s="6" t="s">
        <v>38</v>
      </c>
      <c r="G46" s="7" t="s">
        <v>39</v>
      </c>
    </row>
    <row r="47" spans="1:7" x14ac:dyDescent="0.45">
      <c r="A47" s="5" t="s">
        <v>219</v>
      </c>
      <c r="B47" s="6" t="str">
        <f>"QA"</f>
        <v>QA</v>
      </c>
      <c r="C47" s="6" t="str">
        <f>"IT- QA"</f>
        <v>IT- QA</v>
      </c>
      <c r="D47" s="6" t="s">
        <v>220</v>
      </c>
      <c r="E47" s="6" t="s">
        <v>221</v>
      </c>
      <c r="F47" s="6" t="s">
        <v>38</v>
      </c>
      <c r="G47" s="7" t="s">
        <v>86</v>
      </c>
    </row>
    <row r="48" spans="1:7" x14ac:dyDescent="0.45">
      <c r="A48" s="5" t="s">
        <v>222</v>
      </c>
      <c r="B48" s="6" t="str">
        <f>"Application Developer"</f>
        <v>Application Developer</v>
      </c>
      <c r="C48" s="6" t="str">
        <f>"IT-Application Development"</f>
        <v>IT-Application Development</v>
      </c>
      <c r="D48" s="6" t="s">
        <v>224</v>
      </c>
      <c r="E48" s="6" t="s">
        <v>225</v>
      </c>
      <c r="F48" s="6" t="s">
        <v>38</v>
      </c>
      <c r="G48" s="7" t="s">
        <v>39</v>
      </c>
    </row>
    <row r="49" spans="1:7" x14ac:dyDescent="0.45">
      <c r="A49" s="5" t="s">
        <v>226</v>
      </c>
      <c r="B49" s="6" t="s">
        <v>80</v>
      </c>
      <c r="C49" s="6" t="str">
        <f>"IT-SC BSM"</f>
        <v>IT-SC BSM</v>
      </c>
      <c r="D49" s="6" t="s">
        <v>227</v>
      </c>
      <c r="E49" s="6" t="s">
        <v>228</v>
      </c>
      <c r="F49" s="6" t="s">
        <v>38</v>
      </c>
      <c r="G49" s="7" t="s">
        <v>39</v>
      </c>
    </row>
    <row r="50" spans="1:7" x14ac:dyDescent="0.45">
      <c r="A50" s="5" t="s">
        <v>229</v>
      </c>
      <c r="B50" s="6" t="str">
        <f>"Project Manager"</f>
        <v>Project Manager</v>
      </c>
      <c r="C50" s="6" t="str">
        <f>"IT- PMO"</f>
        <v>IT- PMO</v>
      </c>
      <c r="D50" s="6" t="s">
        <v>230</v>
      </c>
      <c r="E50" s="6" t="s">
        <v>231</v>
      </c>
      <c r="F50" s="6" t="s">
        <v>38</v>
      </c>
      <c r="G50" s="7" t="s">
        <v>39</v>
      </c>
    </row>
    <row r="51" spans="1:7" x14ac:dyDescent="0.45">
      <c r="A51" s="5" t="s">
        <v>232</v>
      </c>
      <c r="B51" s="6" t="s">
        <v>167</v>
      </c>
      <c r="C51" s="6" t="str">
        <f>"Reasor's  Store  Systems - 9014"</f>
        <v>Reasor's  Store  Systems - 9014</v>
      </c>
      <c r="D51" s="6" t="s">
        <v>234</v>
      </c>
      <c r="E51" s="6" t="s">
        <v>235</v>
      </c>
      <c r="F51" s="6" t="s">
        <v>38</v>
      </c>
      <c r="G51" s="7" t="s">
        <v>39</v>
      </c>
    </row>
    <row r="52" spans="1:7" x14ac:dyDescent="0.45">
      <c r="A52" s="5" t="s">
        <v>236</v>
      </c>
      <c r="B52" s="6" t="str">
        <f>"Business Systems Analyst"</f>
        <v>Business Systems Analyst</v>
      </c>
      <c r="C52" s="6" t="str">
        <f>"IT-FI BSM"</f>
        <v>IT-FI BSM</v>
      </c>
      <c r="D52" s="6" t="s">
        <v>237</v>
      </c>
      <c r="E52" s="6" t="s">
        <v>238</v>
      </c>
      <c r="F52" s="6" t="s">
        <v>38</v>
      </c>
      <c r="G52" s="7" t="s">
        <v>39</v>
      </c>
    </row>
    <row r="53" spans="1:7" x14ac:dyDescent="0.45">
      <c r="A53" s="5" t="s">
        <v>239</v>
      </c>
      <c r="B53" s="6" t="s">
        <v>80</v>
      </c>
      <c r="C53" s="6" t="str">
        <f>"IT-SC BSM"</f>
        <v>IT-SC BSM</v>
      </c>
      <c r="D53" s="6" t="s">
        <v>240</v>
      </c>
      <c r="E53" s="6" t="s">
        <v>241</v>
      </c>
      <c r="F53" s="6" t="s">
        <v>38</v>
      </c>
      <c r="G53" s="7" t="s">
        <v>39</v>
      </c>
    </row>
    <row r="54" spans="1:7" x14ac:dyDescent="0.45">
      <c r="A54" s="5" t="s">
        <v>242</v>
      </c>
      <c r="B54" s="6" t="str">
        <f>"Business System Analyst"</f>
        <v>Business System Analyst</v>
      </c>
      <c r="C54" s="6" t="str">
        <f>"IT-FI BSM"</f>
        <v>IT-FI BSM</v>
      </c>
      <c r="D54" s="6" t="s">
        <v>243</v>
      </c>
      <c r="E54" s="6" t="s">
        <v>244</v>
      </c>
      <c r="F54" s="6" t="s">
        <v>38</v>
      </c>
      <c r="G54" s="7" t="s">
        <v>39</v>
      </c>
    </row>
    <row r="55" spans="1:7" x14ac:dyDescent="0.45">
      <c r="A55" s="5" t="s">
        <v>245</v>
      </c>
      <c r="B55" s="6" t="s">
        <v>80</v>
      </c>
      <c r="C55" s="6" t="str">
        <f>"IT Retail BSM "</f>
        <v xml:space="preserve">IT Retail BSM </v>
      </c>
      <c r="D55" s="6" t="s">
        <v>246</v>
      </c>
      <c r="E55" s="6" t="s">
        <v>247</v>
      </c>
      <c r="F55" s="6" t="s">
        <v>38</v>
      </c>
      <c r="G55" s="7" t="s">
        <v>39</v>
      </c>
    </row>
    <row r="56" spans="1:7" x14ac:dyDescent="0.45">
      <c r="A56" s="5" t="s">
        <v>248</v>
      </c>
      <c r="B56" s="6" t="s">
        <v>249</v>
      </c>
      <c r="C56" s="6" t="str">
        <f>"IT-Basis Management"</f>
        <v>IT-Basis Management</v>
      </c>
      <c r="D56" s="6" t="s">
        <v>251</v>
      </c>
      <c r="E56" s="6" t="s">
        <v>252</v>
      </c>
      <c r="F56" s="6" t="s">
        <v>38</v>
      </c>
      <c r="G56" s="7" t="s">
        <v>39</v>
      </c>
    </row>
    <row r="57" spans="1:7" x14ac:dyDescent="0.45">
      <c r="A57" s="5" t="s">
        <v>253</v>
      </c>
      <c r="B57" s="6" t="s">
        <v>149</v>
      </c>
      <c r="C57" s="6" t="str">
        <f>"Reasor's Application Development"</f>
        <v>Reasor's Application Development</v>
      </c>
      <c r="D57" s="6" t="s">
        <v>254</v>
      </c>
      <c r="E57" s="6" t="s">
        <v>255</v>
      </c>
      <c r="F57" s="6" t="s">
        <v>38</v>
      </c>
      <c r="G57" s="7" t="s">
        <v>39</v>
      </c>
    </row>
    <row r="58" spans="1:7" x14ac:dyDescent="0.45">
      <c r="A58" s="5" t="s">
        <v>256</v>
      </c>
      <c r="B58" s="6" t="str">
        <f>"Systems Administrator"</f>
        <v>Systems Administrator</v>
      </c>
      <c r="C58" s="6" t="str">
        <f>"IT- Technical Support management"</f>
        <v>IT- Technical Support management</v>
      </c>
      <c r="D58" s="6" t="s">
        <v>257</v>
      </c>
      <c r="E58" s="6" t="s">
        <v>258</v>
      </c>
      <c r="F58" s="6" t="s">
        <v>38</v>
      </c>
      <c r="G58" s="7" t="s">
        <v>39</v>
      </c>
    </row>
    <row r="59" spans="1:7" x14ac:dyDescent="0.45">
      <c r="A59" s="5" t="s">
        <v>259</v>
      </c>
      <c r="B59" s="6" t="str">
        <f>"Business System Analyst"</f>
        <v>Business System Analyst</v>
      </c>
      <c r="C59" s="6" t="str">
        <f>"IT-FI BSM"</f>
        <v>IT-FI BSM</v>
      </c>
      <c r="D59" s="6" t="s">
        <v>260</v>
      </c>
      <c r="E59" s="6" t="s">
        <v>261</v>
      </c>
      <c r="F59" s="6" t="s">
        <v>38</v>
      </c>
      <c r="G59" s="7" t="s">
        <v>86</v>
      </c>
    </row>
    <row r="60" spans="1:7" x14ac:dyDescent="0.45">
      <c r="A60" s="5" t="s">
        <v>262</v>
      </c>
      <c r="B60" s="6" t="str">
        <f>"Network Systems Analyst"</f>
        <v>Network Systems Analyst</v>
      </c>
      <c r="C60" s="6" t="str">
        <f>"IT- Network"</f>
        <v>IT- Network</v>
      </c>
      <c r="D60" s="6" t="s">
        <v>263</v>
      </c>
      <c r="E60" s="6" t="s">
        <v>264</v>
      </c>
      <c r="F60" s="6" t="s">
        <v>38</v>
      </c>
      <c r="G60" s="7" t="s">
        <v>39</v>
      </c>
    </row>
    <row r="61" spans="1:7" x14ac:dyDescent="0.45">
      <c r="A61" s="5" t="s">
        <v>265</v>
      </c>
      <c r="B61" s="6" t="str">
        <f>"Business System Analyst"</f>
        <v>Business System Analyst</v>
      </c>
      <c r="C61" s="6" t="s">
        <v>112</v>
      </c>
      <c r="D61" s="6" t="s">
        <v>266</v>
      </c>
      <c r="E61" s="6" t="s">
        <v>267</v>
      </c>
      <c r="F61" s="6" t="s">
        <v>38</v>
      </c>
      <c r="G61" s="7" t="s">
        <v>39</v>
      </c>
    </row>
    <row r="62" spans="1:7" x14ac:dyDescent="0.45">
      <c r="A62" s="5" t="s">
        <v>271</v>
      </c>
      <c r="B62" s="6" t="str">
        <f>"Enterprise Endpoint Administrator"</f>
        <v>Enterprise Endpoint Administrator</v>
      </c>
      <c r="C62" s="6" t="str">
        <f>"IT- End Point"</f>
        <v>IT- End Point</v>
      </c>
      <c r="D62" s="6" t="s">
        <v>272</v>
      </c>
      <c r="E62" s="6" t="s">
        <v>273</v>
      </c>
      <c r="F62" s="6" t="s">
        <v>38</v>
      </c>
      <c r="G62" s="7" t="s">
        <v>39</v>
      </c>
    </row>
    <row r="63" spans="1:7" x14ac:dyDescent="0.45">
      <c r="A63" s="5" t="s">
        <v>274</v>
      </c>
      <c r="B63" s="6" t="str">
        <f>"Network Systems Manager"</f>
        <v>Network Systems Manager</v>
      </c>
      <c r="C63" s="6" t="str">
        <f>"IT- Network"</f>
        <v>IT- Network</v>
      </c>
      <c r="D63" s="6" t="s">
        <v>275</v>
      </c>
      <c r="E63" s="6" t="s">
        <v>276</v>
      </c>
      <c r="F63" s="6" t="s">
        <v>38</v>
      </c>
      <c r="G63" s="7" t="s">
        <v>39</v>
      </c>
    </row>
    <row r="64" spans="1:7" x14ac:dyDescent="0.45">
      <c r="A64" s="5" t="s">
        <v>277</v>
      </c>
      <c r="B64" s="6" t="str">
        <f>"Enterprise Endpoint Administrator"</f>
        <v>Enterprise Endpoint Administrator</v>
      </c>
      <c r="C64" s="6" t="str">
        <f>"IT- End Point"</f>
        <v>IT- End Point</v>
      </c>
      <c r="D64" s="6" t="s">
        <v>278</v>
      </c>
      <c r="E64" s="6" t="s">
        <v>279</v>
      </c>
      <c r="F64" s="6" t="s">
        <v>38</v>
      </c>
      <c r="G64" s="7" t="s">
        <v>39</v>
      </c>
    </row>
    <row r="65" spans="1:7" x14ac:dyDescent="0.45">
      <c r="A65" s="5" t="s">
        <v>280</v>
      </c>
      <c r="B65" s="6" t="s">
        <v>176</v>
      </c>
      <c r="C65" s="6" t="str">
        <f>"IT- Technical Support management"</f>
        <v>IT- Technical Support management</v>
      </c>
      <c r="D65" s="6" t="s">
        <v>281</v>
      </c>
      <c r="E65" s="6" t="s">
        <v>282</v>
      </c>
      <c r="F65" s="6" t="s">
        <v>38</v>
      </c>
      <c r="G65" s="7" t="s">
        <v>39</v>
      </c>
    </row>
    <row r="66" spans="1:7" x14ac:dyDescent="0.45">
      <c r="A66" s="5" t="s">
        <v>283</v>
      </c>
      <c r="B66" s="6" t="str">
        <f>"Technical Project Lead"</f>
        <v>Technical Project Lead</v>
      </c>
      <c r="C66" s="6" t="str">
        <f>"IT-Application Development"</f>
        <v>IT-Application Development</v>
      </c>
      <c r="D66" s="6" t="s">
        <v>284</v>
      </c>
      <c r="E66" s="6" t="s">
        <v>285</v>
      </c>
      <c r="F66" s="6" t="s">
        <v>38</v>
      </c>
      <c r="G66" s="7" t="s">
        <v>39</v>
      </c>
    </row>
    <row r="67" spans="1:7" x14ac:dyDescent="0.45">
      <c r="A67" s="5" t="s">
        <v>286</v>
      </c>
      <c r="B67" s="6" t="s">
        <v>70</v>
      </c>
      <c r="C67" s="6" t="str">
        <f>"IT-Training"</f>
        <v>IT-Training</v>
      </c>
      <c r="D67" s="6" t="s">
        <v>287</v>
      </c>
      <c r="E67" s="6" t="s">
        <v>288</v>
      </c>
      <c r="F67" s="6" t="s">
        <v>38</v>
      </c>
      <c r="G67" s="7" t="s">
        <v>39</v>
      </c>
    </row>
    <row r="68" spans="1:7" x14ac:dyDescent="0.45">
      <c r="A68" s="5" t="s">
        <v>289</v>
      </c>
      <c r="B68" s="6" t="s">
        <v>290</v>
      </c>
      <c r="C68" s="6" t="str">
        <f>"IT- QA"</f>
        <v>IT- QA</v>
      </c>
      <c r="D68" s="6" t="s">
        <v>291</v>
      </c>
      <c r="E68" s="6" t="s">
        <v>292</v>
      </c>
      <c r="F68" s="6" t="s">
        <v>38</v>
      </c>
      <c r="G68" s="7" t="s">
        <v>39</v>
      </c>
    </row>
    <row r="69" spans="1:7" x14ac:dyDescent="0.45">
      <c r="A69" s="5" t="s">
        <v>293</v>
      </c>
      <c r="B69" s="6" t="s">
        <v>294</v>
      </c>
      <c r="C69" s="6" t="str">
        <f>"IT- HR BSM"</f>
        <v>IT- HR BSM</v>
      </c>
      <c r="D69" s="6" t="s">
        <v>295</v>
      </c>
      <c r="E69" s="6" t="s">
        <v>296</v>
      </c>
      <c r="F69" s="6" t="s">
        <v>38</v>
      </c>
      <c r="G69" s="7" t="s">
        <v>39</v>
      </c>
    </row>
    <row r="70" spans="1:7" x14ac:dyDescent="0.45">
      <c r="A70" s="5" t="s">
        <v>297</v>
      </c>
      <c r="B70" s="6" t="s">
        <v>298</v>
      </c>
      <c r="C70" s="6" t="str">
        <f>"IT Services (RTS)"</f>
        <v>IT Services (RTS)</v>
      </c>
      <c r="D70" s="6" t="s">
        <v>299</v>
      </c>
      <c r="E70" s="6" t="s">
        <v>300</v>
      </c>
      <c r="F70" s="6" t="s">
        <v>38</v>
      </c>
      <c r="G70" s="7" t="s">
        <v>39</v>
      </c>
    </row>
    <row r="71" spans="1:7" x14ac:dyDescent="0.45">
      <c r="A71" s="5" t="s">
        <v>301</v>
      </c>
      <c r="B71" s="6" t="s">
        <v>302</v>
      </c>
      <c r="C71" s="6" t="str">
        <f>"IT-Basis Management"</f>
        <v>IT-Basis Management</v>
      </c>
      <c r="D71" s="6" t="s">
        <v>303</v>
      </c>
      <c r="E71" s="6" t="s">
        <v>304</v>
      </c>
      <c r="F71" s="6" t="s">
        <v>38</v>
      </c>
      <c r="G71" s="7" t="s">
        <v>39</v>
      </c>
    </row>
    <row r="72" spans="1:7" x14ac:dyDescent="0.45">
      <c r="A72" s="5" t="s">
        <v>305</v>
      </c>
      <c r="B72" s="6" t="str">
        <f>"Help Desk Analyst"</f>
        <v>Help Desk Analyst</v>
      </c>
      <c r="C72" s="6" t="str">
        <f>"IT-Help Desk"</f>
        <v>IT-Help Desk</v>
      </c>
      <c r="D72" s="6" t="s">
        <v>306</v>
      </c>
      <c r="E72" s="6" t="s">
        <v>307</v>
      </c>
      <c r="F72" s="6" t="s">
        <v>38</v>
      </c>
      <c r="G72" s="7" t="s">
        <v>39</v>
      </c>
    </row>
    <row r="73" spans="1:7" x14ac:dyDescent="0.45">
      <c r="A73" s="5" t="s">
        <v>308</v>
      </c>
      <c r="B73" s="6" t="s">
        <v>80</v>
      </c>
      <c r="C73" s="6" t="str">
        <f>"IT-SC BSM"</f>
        <v>IT-SC BSM</v>
      </c>
      <c r="D73" s="6" t="s">
        <v>309</v>
      </c>
      <c r="E73" s="6" t="s">
        <v>310</v>
      </c>
      <c r="F73" s="6" t="s">
        <v>38</v>
      </c>
      <c r="G73" s="7" t="s">
        <v>39</v>
      </c>
    </row>
    <row r="74" spans="1:7" x14ac:dyDescent="0.45">
      <c r="A74" s="5" t="s">
        <v>311</v>
      </c>
      <c r="B74" s="6" t="s">
        <v>159</v>
      </c>
      <c r="C74" s="6" t="str">
        <f>"IT- Technical Support management"</f>
        <v>IT- Technical Support management</v>
      </c>
      <c r="D74" s="6" t="s">
        <v>312</v>
      </c>
      <c r="E74" s="6" t="s">
        <v>313</v>
      </c>
      <c r="F74" s="6" t="s">
        <v>38</v>
      </c>
      <c r="G74" s="7" t="s">
        <v>39</v>
      </c>
    </row>
    <row r="75" spans="1:7" x14ac:dyDescent="0.45">
      <c r="A75" s="8" t="s">
        <v>311</v>
      </c>
      <c r="B75" s="9" t="s">
        <v>159</v>
      </c>
      <c r="C75" s="6" t="str">
        <f>"IT- Network"</f>
        <v>IT- Network</v>
      </c>
      <c r="D75" s="6" t="s">
        <v>312</v>
      </c>
      <c r="E75" s="6" t="s">
        <v>313</v>
      </c>
      <c r="F75" s="6" t="s">
        <v>38</v>
      </c>
      <c r="G75" s="7" t="s">
        <v>39</v>
      </c>
    </row>
    <row r="76" spans="1:7" x14ac:dyDescent="0.45">
      <c r="A76" s="5" t="s">
        <v>314</v>
      </c>
      <c r="B76" s="6" t="s">
        <v>80</v>
      </c>
      <c r="C76" s="6" t="str">
        <f>"IT-SC BSM"</f>
        <v>IT-SC BSM</v>
      </c>
      <c r="D76" s="6" t="s">
        <v>315</v>
      </c>
      <c r="E76" s="6" t="s">
        <v>316</v>
      </c>
      <c r="F76" s="6" t="s">
        <v>38</v>
      </c>
      <c r="G76" s="7" t="s">
        <v>39</v>
      </c>
    </row>
    <row r="77" spans="1:7" x14ac:dyDescent="0.45">
      <c r="A77" s="5" t="s">
        <v>317</v>
      </c>
      <c r="B77" s="6" t="s">
        <v>70</v>
      </c>
      <c r="C77" s="6" t="str">
        <f>"IT-Training"</f>
        <v>IT-Training</v>
      </c>
      <c r="D77" s="6" t="s">
        <v>318</v>
      </c>
      <c r="E77" s="6" t="s">
        <v>319</v>
      </c>
      <c r="F77" s="6" t="s">
        <v>38</v>
      </c>
      <c r="G77" s="7" t="s">
        <v>39</v>
      </c>
    </row>
    <row r="78" spans="1:7" x14ac:dyDescent="0.45">
      <c r="A78" s="5" t="s">
        <v>320</v>
      </c>
      <c r="B78" s="6" t="str">
        <f>"Business System Analyst"</f>
        <v>Business System Analyst</v>
      </c>
      <c r="C78" s="6" t="str">
        <f>"IT-FI BSM"</f>
        <v>IT-FI BSM</v>
      </c>
      <c r="D78" s="6" t="s">
        <v>321</v>
      </c>
      <c r="E78" s="6" t="s">
        <v>322</v>
      </c>
      <c r="F78" s="6" t="s">
        <v>38</v>
      </c>
      <c r="G78" s="7" t="s">
        <v>39</v>
      </c>
    </row>
    <row r="79" spans="1:7" x14ac:dyDescent="0.45">
      <c r="A79" s="5" t="s">
        <v>326</v>
      </c>
      <c r="B79" s="6" t="s">
        <v>80</v>
      </c>
      <c r="C79" s="6" t="str">
        <f>"IT Retail BSM "</f>
        <v xml:space="preserve">IT Retail BSM </v>
      </c>
      <c r="D79" s="6" t="s">
        <v>327</v>
      </c>
      <c r="E79" s="6" t="s">
        <v>328</v>
      </c>
      <c r="F79" s="6" t="s">
        <v>38</v>
      </c>
      <c r="G79" s="7" t="s">
        <v>39</v>
      </c>
    </row>
    <row r="80" spans="1:7" x14ac:dyDescent="0.45">
      <c r="A80" s="5" t="s">
        <v>333</v>
      </c>
      <c r="B80" s="6" t="str">
        <f>"Network Systems Analyst"</f>
        <v>Network Systems Analyst</v>
      </c>
      <c r="C80" s="6" t="str">
        <f>"IT- Network"</f>
        <v>IT- Network</v>
      </c>
      <c r="D80" s="6" t="s">
        <v>334</v>
      </c>
      <c r="E80" s="6" t="s">
        <v>335</v>
      </c>
      <c r="F80" s="6" t="s">
        <v>38</v>
      </c>
      <c r="G80" s="7" t="s">
        <v>39</v>
      </c>
    </row>
    <row r="81" spans="1:7" x14ac:dyDescent="0.45">
      <c r="A81" s="5" t="s">
        <v>336</v>
      </c>
      <c r="B81" s="6" t="s">
        <v>41</v>
      </c>
      <c r="C81" s="6" t="str">
        <f>"IT- PMO"</f>
        <v>IT- PMO</v>
      </c>
      <c r="D81" s="6" t="s">
        <v>337</v>
      </c>
      <c r="E81" s="6" t="s">
        <v>338</v>
      </c>
      <c r="F81" s="6" t="s">
        <v>38</v>
      </c>
      <c r="G81" s="7" t="s">
        <v>39</v>
      </c>
    </row>
    <row r="82" spans="1:7" x14ac:dyDescent="0.45">
      <c r="A82" s="5" t="s">
        <v>339</v>
      </c>
      <c r="B82" s="6" t="s">
        <v>80</v>
      </c>
      <c r="C82" s="6" t="str">
        <f>"IT Retail BSM "</f>
        <v xml:space="preserve">IT Retail BSM </v>
      </c>
      <c r="D82" s="6" t="s">
        <v>340</v>
      </c>
      <c r="E82" s="6" t="s">
        <v>341</v>
      </c>
      <c r="F82" s="6" t="s">
        <v>38</v>
      </c>
      <c r="G82" s="7" t="s">
        <v>39</v>
      </c>
    </row>
    <row r="83" spans="1:7" x14ac:dyDescent="0.45">
      <c r="A83" s="5" t="s">
        <v>342</v>
      </c>
      <c r="B83" s="6" t="str">
        <f>"Systems Administrator"</f>
        <v>Systems Administrator</v>
      </c>
      <c r="C83" s="6" t="s">
        <v>76</v>
      </c>
      <c r="D83" s="6" t="s">
        <v>343</v>
      </c>
      <c r="E83" s="6" t="s">
        <v>344</v>
      </c>
      <c r="F83" s="6" t="s">
        <v>38</v>
      </c>
      <c r="G83" s="7" t="s">
        <v>39</v>
      </c>
    </row>
    <row r="84" spans="1:7" x14ac:dyDescent="0.45">
      <c r="A84" s="5" t="s">
        <v>345</v>
      </c>
      <c r="B84" s="6" t="s">
        <v>172</v>
      </c>
      <c r="C84" s="6" t="str">
        <f>"Reasor's  Store  Systems - 9014"</f>
        <v>Reasor's  Store  Systems - 9014</v>
      </c>
      <c r="D84" s="6" t="s">
        <v>346</v>
      </c>
      <c r="E84" s="6" t="s">
        <v>347</v>
      </c>
      <c r="F84" s="6" t="s">
        <v>38</v>
      </c>
      <c r="G84" s="7" t="s">
        <v>39</v>
      </c>
    </row>
    <row r="85" spans="1:7" x14ac:dyDescent="0.45">
      <c r="A85" s="5" t="s">
        <v>348</v>
      </c>
      <c r="B85" s="6" t="str">
        <f>"Business System Analyst"</f>
        <v>Business System Analyst</v>
      </c>
      <c r="C85" s="6" t="str">
        <f>"IT-FI BSM"</f>
        <v>IT-FI BSM</v>
      </c>
      <c r="D85" s="6" t="s">
        <v>349</v>
      </c>
      <c r="E85" s="6" t="s">
        <v>350</v>
      </c>
      <c r="F85" s="6" t="s">
        <v>38</v>
      </c>
      <c r="G85" s="7" t="s">
        <v>39</v>
      </c>
    </row>
    <row r="86" spans="1:7" x14ac:dyDescent="0.45">
      <c r="A86" s="5" t="s">
        <v>351</v>
      </c>
      <c r="B86" s="6" t="str">
        <f>"Information Security Administrator"</f>
        <v>Information Security Administrator</v>
      </c>
      <c r="C86" s="6" t="str">
        <f>"IT- Security"</f>
        <v>IT- Security</v>
      </c>
      <c r="D86" s="6" t="s">
        <v>352</v>
      </c>
      <c r="E86" s="6" t="s">
        <v>353</v>
      </c>
      <c r="F86" s="6" t="s">
        <v>38</v>
      </c>
      <c r="G86" s="7" t="s">
        <v>39</v>
      </c>
    </row>
    <row r="87" spans="1:7" x14ac:dyDescent="0.45">
      <c r="A87" s="5" t="s">
        <v>365</v>
      </c>
      <c r="B87" s="6" t="s">
        <v>120</v>
      </c>
      <c r="C87" s="6" t="str">
        <f>"IT Services (RTS)"</f>
        <v>IT Services (RTS)</v>
      </c>
      <c r="D87" s="6" t="s">
        <v>366</v>
      </c>
      <c r="E87" s="6" t="s">
        <v>367</v>
      </c>
      <c r="F87" s="6" t="s">
        <v>38</v>
      </c>
      <c r="G87" s="7" t="s">
        <v>39</v>
      </c>
    </row>
    <row r="88" spans="1:7" x14ac:dyDescent="0.45">
      <c r="A88" s="5" t="s">
        <v>362</v>
      </c>
      <c r="B88" s="6" t="str">
        <f>"QA"</f>
        <v>QA</v>
      </c>
      <c r="C88" s="6" t="str">
        <f>"IT- QA"</f>
        <v>IT- QA</v>
      </c>
      <c r="D88" s="6" t="s">
        <v>363</v>
      </c>
      <c r="E88" s="6" t="s">
        <v>364</v>
      </c>
      <c r="F88" s="6" t="s">
        <v>38</v>
      </c>
      <c r="G88" s="7" t="s">
        <v>39</v>
      </c>
    </row>
    <row r="89" spans="1:7" x14ac:dyDescent="0.45">
      <c r="A89" s="5" t="s">
        <v>371</v>
      </c>
      <c r="B89" s="6" t="s">
        <v>80</v>
      </c>
      <c r="C89" s="6" t="str">
        <f>"IT Retail BSM "</f>
        <v xml:space="preserve">IT Retail BSM </v>
      </c>
      <c r="D89" s="6" t="s">
        <v>372</v>
      </c>
      <c r="E89" s="6" t="s">
        <v>373</v>
      </c>
      <c r="F89" s="6" t="s">
        <v>38</v>
      </c>
      <c r="G89" s="7" t="s">
        <v>39</v>
      </c>
    </row>
    <row r="90" spans="1:7" x14ac:dyDescent="0.45">
      <c r="A90" s="5" t="s">
        <v>374</v>
      </c>
      <c r="B90" s="6" t="str">
        <f>"Help Desk Analyst"</f>
        <v>Help Desk Analyst</v>
      </c>
      <c r="C90" s="6" t="str">
        <f>"IT-Help Desk"</f>
        <v>IT-Help Desk</v>
      </c>
      <c r="D90" s="6" t="s">
        <v>375</v>
      </c>
      <c r="E90" s="6" t="s">
        <v>376</v>
      </c>
      <c r="F90" s="6" t="s">
        <v>38</v>
      </c>
      <c r="G90" s="7" t="s">
        <v>39</v>
      </c>
    </row>
    <row r="91" spans="1:7" x14ac:dyDescent="0.45">
      <c r="A91" s="8" t="s">
        <v>374</v>
      </c>
      <c r="B91" s="9" t="s">
        <v>104</v>
      </c>
      <c r="C91" s="6" t="str">
        <f>"IT-Help Desk"</f>
        <v>IT-Help Desk</v>
      </c>
      <c r="D91" s="6" t="s">
        <v>375</v>
      </c>
      <c r="E91" s="6" t="s">
        <v>376</v>
      </c>
      <c r="F91" s="6" t="s">
        <v>38</v>
      </c>
      <c r="G91" s="7" t="s">
        <v>39</v>
      </c>
    </row>
    <row r="92" spans="1:7" x14ac:dyDescent="0.45">
      <c r="A92" s="5" t="s">
        <v>377</v>
      </c>
      <c r="B92" s="6" t="s">
        <v>172</v>
      </c>
      <c r="C92" s="6" t="str">
        <f>"IT-FI BSM"</f>
        <v>IT-FI BSM</v>
      </c>
      <c r="D92" s="6" t="s">
        <v>378</v>
      </c>
      <c r="E92" s="6" t="s">
        <v>379</v>
      </c>
      <c r="F92" s="6" t="s">
        <v>38</v>
      </c>
      <c r="G92" s="7" t="s">
        <v>39</v>
      </c>
    </row>
    <row r="93" spans="1:7" x14ac:dyDescent="0.45">
      <c r="A93" s="5" t="s">
        <v>384</v>
      </c>
      <c r="B93" s="6" t="str">
        <f>"Application Developer"</f>
        <v>Application Developer</v>
      </c>
      <c r="C93" s="6" t="str">
        <f>"IT-Application Development"</f>
        <v>IT-Application Development</v>
      </c>
      <c r="D93" s="6" t="s">
        <v>385</v>
      </c>
      <c r="E93" s="6" t="s">
        <v>386</v>
      </c>
      <c r="F93" s="6" t="s">
        <v>38</v>
      </c>
      <c r="G93" s="7" t="s">
        <v>39</v>
      </c>
    </row>
    <row r="94" spans="1:7" x14ac:dyDescent="0.45">
      <c r="A94" s="5" t="s">
        <v>387</v>
      </c>
      <c r="B94" s="6" t="s">
        <v>80</v>
      </c>
      <c r="C94" s="6" t="str">
        <f>"IT-FI BSM"</f>
        <v>IT-FI BSM</v>
      </c>
      <c r="D94" s="6" t="s">
        <v>388</v>
      </c>
      <c r="E94" s="6" t="s">
        <v>389</v>
      </c>
      <c r="F94" s="6" t="s">
        <v>38</v>
      </c>
      <c r="G94" s="7" t="s">
        <v>39</v>
      </c>
    </row>
    <row r="95" spans="1:7" x14ac:dyDescent="0.45">
      <c r="A95" s="5" t="s">
        <v>390</v>
      </c>
      <c r="B95" s="6" t="s">
        <v>70</v>
      </c>
      <c r="C95" s="6" t="str">
        <f>"IT-Training"</f>
        <v>IT-Training</v>
      </c>
      <c r="D95" s="6" t="s">
        <v>391</v>
      </c>
      <c r="E95" s="6" t="s">
        <v>392</v>
      </c>
      <c r="F95" s="6" t="s">
        <v>38</v>
      </c>
      <c r="G95" s="7" t="s">
        <v>39</v>
      </c>
    </row>
    <row r="96" spans="1:7" x14ac:dyDescent="0.45">
      <c r="A96" s="5" t="s">
        <v>393</v>
      </c>
      <c r="B96" s="6" t="s">
        <v>120</v>
      </c>
      <c r="C96" s="6" t="str">
        <f>"IT Services (RTS)"</f>
        <v>IT Services (RTS)</v>
      </c>
      <c r="D96" s="6" t="s">
        <v>394</v>
      </c>
      <c r="E96" s="6" t="s">
        <v>395</v>
      </c>
      <c r="F96" s="6" t="s">
        <v>38</v>
      </c>
      <c r="G96" s="7" t="s">
        <v>39</v>
      </c>
    </row>
    <row r="97" spans="1:7" x14ac:dyDescent="0.45">
      <c r="A97" s="5" t="s">
        <v>396</v>
      </c>
      <c r="B97" s="6" t="str">
        <f>"Software Systems Engineer"</f>
        <v>Software Systems Engineer</v>
      </c>
      <c r="C97" s="6" t="str">
        <f>"IT- End Point"</f>
        <v>IT- End Point</v>
      </c>
      <c r="D97" s="6" t="s">
        <v>398</v>
      </c>
      <c r="E97" s="6" t="s">
        <v>399</v>
      </c>
      <c r="F97" s="6" t="s">
        <v>38</v>
      </c>
      <c r="G97" s="7" t="s">
        <v>39</v>
      </c>
    </row>
    <row r="98" spans="1:7" x14ac:dyDescent="0.45">
      <c r="A98" s="5" t="s">
        <v>400</v>
      </c>
      <c r="B98" s="6" t="str">
        <f>"Training and Change Coordinator"</f>
        <v>Training and Change Coordinator</v>
      </c>
      <c r="C98" s="6" t="str">
        <f>"IT- PMO"</f>
        <v>IT- PMO</v>
      </c>
      <c r="D98" s="6" t="s">
        <v>402</v>
      </c>
      <c r="E98" s="6" t="s">
        <v>403</v>
      </c>
      <c r="F98" s="6" t="s">
        <v>38</v>
      </c>
      <c r="G98" s="7" t="s">
        <v>39</v>
      </c>
    </row>
    <row r="99" spans="1:7" x14ac:dyDescent="0.45">
      <c r="A99" s="5" t="s">
        <v>404</v>
      </c>
      <c r="B99" s="6" t="s">
        <v>187</v>
      </c>
      <c r="C99" s="6" t="str">
        <f>"IT- QA"</f>
        <v>IT- QA</v>
      </c>
      <c r="D99" s="6" t="s">
        <v>405</v>
      </c>
      <c r="E99" s="6" t="s">
        <v>406</v>
      </c>
      <c r="F99" s="6" t="s">
        <v>38</v>
      </c>
      <c r="G99" s="7" t="s">
        <v>39</v>
      </c>
    </row>
    <row r="100" spans="1:7" x14ac:dyDescent="0.45">
      <c r="A100" s="8" t="s">
        <v>410</v>
      </c>
      <c r="B100" s="9" t="s">
        <v>41</v>
      </c>
      <c r="C100" s="6" t="str">
        <f>"IT- PMO"</f>
        <v>IT- PMO</v>
      </c>
      <c r="D100" s="6" t="s">
        <v>411</v>
      </c>
      <c r="E100" s="6" t="s">
        <v>412</v>
      </c>
      <c r="F100" s="6" t="s">
        <v>63</v>
      </c>
      <c r="G100" s="7" t="s">
        <v>39</v>
      </c>
    </row>
    <row r="101" spans="1:7" x14ac:dyDescent="0.45">
      <c r="A101" s="5" t="s">
        <v>407</v>
      </c>
      <c r="B101" s="6" t="str">
        <f>"Enterprise Endpoint Administrator"</f>
        <v>Enterprise Endpoint Administrator</v>
      </c>
      <c r="C101" s="6" t="str">
        <f>"IT- End Point"</f>
        <v>IT- End Point</v>
      </c>
      <c r="D101" s="6" t="s">
        <v>408</v>
      </c>
      <c r="E101" s="6" t="s">
        <v>409</v>
      </c>
      <c r="F101" s="6" t="s">
        <v>38</v>
      </c>
      <c r="G101" s="7" t="s">
        <v>39</v>
      </c>
    </row>
    <row r="102" spans="1:7" x14ac:dyDescent="0.45">
      <c r="A102" s="5" t="s">
        <v>413</v>
      </c>
      <c r="B102" s="6" t="str">
        <f>"Technical Support Manager"</f>
        <v>Technical Support Manager</v>
      </c>
      <c r="C102" s="6" t="str">
        <f>"IT- Technical Support management"</f>
        <v>IT- Technical Support management</v>
      </c>
      <c r="D102" s="6" t="s">
        <v>415</v>
      </c>
      <c r="E102" s="6" t="s">
        <v>416</v>
      </c>
      <c r="F102" s="6" t="s">
        <v>38</v>
      </c>
      <c r="G102" s="7" t="s">
        <v>39</v>
      </c>
    </row>
    <row r="103" spans="1:7" x14ac:dyDescent="0.45">
      <c r="A103" s="5" t="s">
        <v>417</v>
      </c>
      <c r="B103" s="6" t="str">
        <f>"Help Desk Analyst "</f>
        <v xml:space="preserve">Help Desk Analyst </v>
      </c>
      <c r="C103" s="6" t="str">
        <f>"IT-Help Desk"</f>
        <v>IT-Help Desk</v>
      </c>
      <c r="D103" s="6" t="s">
        <v>419</v>
      </c>
      <c r="E103" s="6" t="s">
        <v>420</v>
      </c>
      <c r="F103" s="6" t="s">
        <v>38</v>
      </c>
      <c r="G103" s="7" t="s">
        <v>39</v>
      </c>
    </row>
    <row r="104" spans="1:7" x14ac:dyDescent="0.45">
      <c r="A104" s="5" t="s">
        <v>421</v>
      </c>
      <c r="B104" s="6" t="s">
        <v>167</v>
      </c>
      <c r="C104" s="6" t="str">
        <f>"IT-SC BSM"</f>
        <v>IT-SC BSM</v>
      </c>
      <c r="D104" s="6" t="s">
        <v>422</v>
      </c>
      <c r="E104" s="6" t="s">
        <v>423</v>
      </c>
      <c r="F104" s="6" t="s">
        <v>38</v>
      </c>
      <c r="G104" s="7" t="s">
        <v>39</v>
      </c>
    </row>
    <row r="105" spans="1:7" x14ac:dyDescent="0.45">
      <c r="A105" s="5" t="s">
        <v>424</v>
      </c>
      <c r="B105" s="6" t="str">
        <f>"Systems Administrator"</f>
        <v>Systems Administrator</v>
      </c>
      <c r="C105" s="6" t="str">
        <f>"IT- Technical Support management"</f>
        <v>IT- Technical Support management</v>
      </c>
      <c r="D105" s="6" t="s">
        <v>425</v>
      </c>
      <c r="E105" s="6" t="s">
        <v>426</v>
      </c>
      <c r="F105" s="6" t="s">
        <v>38</v>
      </c>
      <c r="G105" s="7" t="s">
        <v>39</v>
      </c>
    </row>
    <row r="106" spans="1:7" x14ac:dyDescent="0.45">
      <c r="A106" s="5" t="s">
        <v>430</v>
      </c>
      <c r="B106" s="6" t="str">
        <f>"Help Desk Analyst"</f>
        <v>Help Desk Analyst</v>
      </c>
      <c r="C106" s="6" t="str">
        <f>"IT-Help Desk"</f>
        <v>IT-Help Desk</v>
      </c>
      <c r="D106" s="6" t="s">
        <v>431</v>
      </c>
      <c r="E106" s="6" t="s">
        <v>432</v>
      </c>
      <c r="F106" s="6" t="s">
        <v>38</v>
      </c>
      <c r="G106" s="7" t="s">
        <v>39</v>
      </c>
    </row>
    <row r="107" spans="1:7" x14ac:dyDescent="0.45">
      <c r="A107" s="5" t="s">
        <v>433</v>
      </c>
      <c r="B107" s="6" t="s">
        <v>120</v>
      </c>
      <c r="C107" s="6" t="str">
        <f>"IT Services (RTS)"</f>
        <v>IT Services (RTS)</v>
      </c>
      <c r="D107" s="6" t="s">
        <v>434</v>
      </c>
      <c r="E107" s="6" t="s">
        <v>435</v>
      </c>
      <c r="F107" s="6" t="s">
        <v>38</v>
      </c>
      <c r="G107" s="7" t="s">
        <v>39</v>
      </c>
    </row>
    <row r="108" spans="1:7" x14ac:dyDescent="0.45">
      <c r="A108" s="5" t="s">
        <v>436</v>
      </c>
      <c r="B108" s="6" t="str">
        <f>"Business System Analyst"</f>
        <v>Business System Analyst</v>
      </c>
      <c r="C108" s="6" t="str">
        <f>"IT Retail BSM "</f>
        <v xml:space="preserve">IT Retail BSM </v>
      </c>
      <c r="D108" s="6" t="s">
        <v>437</v>
      </c>
      <c r="E108" s="6" t="s">
        <v>438</v>
      </c>
      <c r="F108" s="6" t="s">
        <v>38</v>
      </c>
      <c r="G108" s="7" t="s">
        <v>39</v>
      </c>
    </row>
    <row r="109" spans="1:7" x14ac:dyDescent="0.45">
      <c r="A109" s="5" t="s">
        <v>439</v>
      </c>
      <c r="B109" s="6" t="s">
        <v>56</v>
      </c>
      <c r="C109" s="6" t="str">
        <f>"IT- End Point"</f>
        <v>IT- End Point</v>
      </c>
      <c r="D109" s="6" t="s">
        <v>440</v>
      </c>
      <c r="E109" s="6" t="s">
        <v>441</v>
      </c>
      <c r="F109" s="6" t="s">
        <v>38</v>
      </c>
      <c r="G109" s="7" t="s">
        <v>39</v>
      </c>
    </row>
    <row r="110" spans="1:7" x14ac:dyDescent="0.45">
      <c r="A110" s="5" t="s">
        <v>442</v>
      </c>
      <c r="B110" s="6" t="s">
        <v>80</v>
      </c>
      <c r="C110" s="6" t="str">
        <f>"IT-SC BSM"</f>
        <v>IT-SC BSM</v>
      </c>
      <c r="D110" s="6" t="s">
        <v>443</v>
      </c>
      <c r="E110" s="6" t="s">
        <v>444</v>
      </c>
      <c r="F110" s="6" t="s">
        <v>38</v>
      </c>
      <c r="G110" s="7" t="s">
        <v>39</v>
      </c>
    </row>
    <row r="111" spans="1:7" x14ac:dyDescent="0.45">
      <c r="A111" s="5" t="s">
        <v>445</v>
      </c>
      <c r="B111" s="6" t="s">
        <v>46</v>
      </c>
      <c r="C111" s="6" t="str">
        <f>"IT-Application Development"</f>
        <v>IT-Application Development</v>
      </c>
      <c r="D111" s="6" t="s">
        <v>446</v>
      </c>
      <c r="E111" s="6" t="s">
        <v>447</v>
      </c>
      <c r="F111" s="6" t="s">
        <v>38</v>
      </c>
      <c r="G111" s="7" t="s">
        <v>39</v>
      </c>
    </row>
    <row r="112" spans="1:7" x14ac:dyDescent="0.45">
      <c r="A112" s="5" t="s">
        <v>448</v>
      </c>
      <c r="B112" s="6" t="s">
        <v>80</v>
      </c>
      <c r="C112" s="6" t="str">
        <f>"IT Retail BSM "</f>
        <v xml:space="preserve">IT Retail BSM </v>
      </c>
      <c r="D112" s="6" t="s">
        <v>449</v>
      </c>
      <c r="E112" s="6" t="s">
        <v>450</v>
      </c>
      <c r="F112" s="6" t="s">
        <v>38</v>
      </c>
      <c r="G112" s="7" t="s">
        <v>39</v>
      </c>
    </row>
    <row r="113" spans="1:7" x14ac:dyDescent="0.45">
      <c r="A113" s="5" t="s">
        <v>451</v>
      </c>
      <c r="B113" s="6" t="str">
        <f>"Help Desk Analyst "</f>
        <v xml:space="preserve">Help Desk Analyst </v>
      </c>
      <c r="C113" s="6" t="str">
        <f>"IT-Help Desk"</f>
        <v>IT-Help Desk</v>
      </c>
      <c r="D113" s="6" t="s">
        <v>452</v>
      </c>
      <c r="E113" s="6" t="s">
        <v>453</v>
      </c>
      <c r="F113" s="6" t="s">
        <v>38</v>
      </c>
      <c r="G113" s="7" t="s">
        <v>39</v>
      </c>
    </row>
    <row r="114" spans="1:7" x14ac:dyDescent="0.45">
      <c r="A114" s="5" t="s">
        <v>454</v>
      </c>
      <c r="B114" s="6" t="s">
        <v>70</v>
      </c>
      <c r="C114" s="6" t="str">
        <f>"IT-Training"</f>
        <v>IT-Training</v>
      </c>
      <c r="D114" s="6" t="s">
        <v>455</v>
      </c>
      <c r="E114" s="6" t="s">
        <v>456</v>
      </c>
      <c r="F114" s="6" t="s">
        <v>38</v>
      </c>
      <c r="G114" s="7" t="s">
        <v>39</v>
      </c>
    </row>
    <row r="115" spans="1:7" x14ac:dyDescent="0.45">
      <c r="A115" s="5" t="s">
        <v>457</v>
      </c>
      <c r="B115" s="6" t="str">
        <f>"Help Desk Analyst"</f>
        <v>Help Desk Analyst</v>
      </c>
      <c r="C115" s="6" t="str">
        <f>"IT-Help Desk"</f>
        <v>IT-Help Desk</v>
      </c>
      <c r="D115" s="6" t="s">
        <v>458</v>
      </c>
      <c r="E115" s="6" t="s">
        <v>459</v>
      </c>
      <c r="F115" s="6" t="s">
        <v>38</v>
      </c>
      <c r="G115" s="7" t="s">
        <v>39</v>
      </c>
    </row>
    <row r="116" spans="1:7" x14ac:dyDescent="0.45">
      <c r="A116" s="5" t="s">
        <v>460</v>
      </c>
      <c r="B116" s="6" t="str">
        <f>"Business Systems Analyst "</f>
        <v xml:space="preserve">Business Systems Analyst </v>
      </c>
      <c r="C116" s="6" t="str">
        <f>"IT-Marketing BSM"</f>
        <v>IT-Marketing BSM</v>
      </c>
      <c r="D116" s="6" t="s">
        <v>461</v>
      </c>
      <c r="E116" s="6" t="s">
        <v>462</v>
      </c>
      <c r="F116" s="6" t="s">
        <v>38</v>
      </c>
      <c r="G116" s="7" t="s">
        <v>39</v>
      </c>
    </row>
    <row r="117" spans="1:7" x14ac:dyDescent="0.45">
      <c r="A117" s="5" t="s">
        <v>463</v>
      </c>
      <c r="B117" s="6" t="s">
        <v>120</v>
      </c>
      <c r="C117" s="6" t="str">
        <f>"IT Services (RTS)"</f>
        <v>IT Services (RTS)</v>
      </c>
      <c r="D117" s="6" t="s">
        <v>464</v>
      </c>
      <c r="E117" s="6" t="s">
        <v>465</v>
      </c>
      <c r="F117" s="6" t="s">
        <v>38</v>
      </c>
      <c r="G117" s="7" t="s">
        <v>39</v>
      </c>
    </row>
    <row r="118" spans="1:7" x14ac:dyDescent="0.45">
      <c r="A118" s="5" t="s">
        <v>466</v>
      </c>
      <c r="B118" s="6" t="s">
        <v>70</v>
      </c>
      <c r="C118" s="6" t="str">
        <f>"IT-Training"</f>
        <v>IT-Training</v>
      </c>
      <c r="D118" s="6" t="s">
        <v>467</v>
      </c>
      <c r="E118" s="6" t="s">
        <v>468</v>
      </c>
      <c r="F118" s="6" t="s">
        <v>38</v>
      </c>
      <c r="G118" s="7" t="s">
        <v>39</v>
      </c>
    </row>
    <row r="119" spans="1:7" x14ac:dyDescent="0.45">
      <c r="A119" s="5" t="s">
        <v>469</v>
      </c>
      <c r="B119" s="6" t="s">
        <v>70</v>
      </c>
      <c r="C119" s="6" t="s">
        <v>71</v>
      </c>
      <c r="D119" s="6" t="s">
        <v>470</v>
      </c>
      <c r="E119" s="6" t="s">
        <v>471</v>
      </c>
      <c r="F119" s="6" t="s">
        <v>38</v>
      </c>
      <c r="G119" s="7" t="s">
        <v>39</v>
      </c>
    </row>
    <row r="120" spans="1:7" x14ac:dyDescent="0.45">
      <c r="A120" s="5" t="s">
        <v>472</v>
      </c>
      <c r="B120" s="6" t="s">
        <v>70</v>
      </c>
      <c r="C120" s="6" t="str">
        <f>"IT-Training"</f>
        <v>IT-Training</v>
      </c>
      <c r="D120" s="6" t="s">
        <v>473</v>
      </c>
      <c r="E120" s="6" t="s">
        <v>474</v>
      </c>
      <c r="F120" s="6" t="s">
        <v>38</v>
      </c>
      <c r="G120" s="7" t="s">
        <v>39</v>
      </c>
    </row>
    <row r="121" spans="1:7" x14ac:dyDescent="0.45">
      <c r="A121" s="5" t="s">
        <v>475</v>
      </c>
      <c r="B121" s="6" t="s">
        <v>104</v>
      </c>
      <c r="C121" s="6" t="str">
        <f>"IT-Help Desk"</f>
        <v>IT-Help Desk</v>
      </c>
      <c r="D121" s="6" t="s">
        <v>476</v>
      </c>
      <c r="E121" s="6" t="s">
        <v>477</v>
      </c>
      <c r="F121" s="6" t="s">
        <v>38</v>
      </c>
      <c r="G121" s="7" t="s">
        <v>39</v>
      </c>
    </row>
    <row r="122" spans="1:7" x14ac:dyDescent="0.45">
      <c r="A122" s="5" t="s">
        <v>478</v>
      </c>
      <c r="B122" s="6" t="s">
        <v>120</v>
      </c>
      <c r="C122" s="6" t="str">
        <f>"IT Services (RTS)"</f>
        <v>IT Services (RTS)</v>
      </c>
      <c r="D122" s="6" t="s">
        <v>479</v>
      </c>
      <c r="E122" s="6" t="s">
        <v>480</v>
      </c>
      <c r="F122" s="6" t="s">
        <v>38</v>
      </c>
      <c r="G122" s="7" t="s">
        <v>39</v>
      </c>
    </row>
    <row r="123" spans="1:7" x14ac:dyDescent="0.45">
      <c r="A123" s="5" t="s">
        <v>481</v>
      </c>
      <c r="B123" s="6" t="str">
        <f>"Network Systems Analyst"</f>
        <v>Network Systems Analyst</v>
      </c>
      <c r="C123" s="6" t="str">
        <f>"IT- Network"</f>
        <v>IT- Network</v>
      </c>
      <c r="D123" s="6" t="s">
        <v>482</v>
      </c>
      <c r="E123" s="6" t="s">
        <v>483</v>
      </c>
      <c r="F123" s="6" t="s">
        <v>38</v>
      </c>
      <c r="G123" s="7" t="s">
        <v>39</v>
      </c>
    </row>
    <row r="124" spans="1:7" x14ac:dyDescent="0.45">
      <c r="A124" s="5" t="s">
        <v>484</v>
      </c>
      <c r="B124" s="6" t="s">
        <v>167</v>
      </c>
      <c r="C124" s="6" t="str">
        <f>"IT Retail BSM "</f>
        <v xml:space="preserve">IT Retail BSM </v>
      </c>
      <c r="D124" s="6" t="s">
        <v>485</v>
      </c>
      <c r="E124" s="6" t="s">
        <v>486</v>
      </c>
      <c r="F124" s="6" t="s">
        <v>38</v>
      </c>
      <c r="G124" s="7" t="s">
        <v>39</v>
      </c>
    </row>
    <row r="125" spans="1:7" x14ac:dyDescent="0.45">
      <c r="A125" s="5" t="s">
        <v>487</v>
      </c>
      <c r="B125" s="6" t="s">
        <v>70</v>
      </c>
      <c r="C125" s="6" t="str">
        <f>"IT-Training"</f>
        <v>IT-Training</v>
      </c>
      <c r="D125" s="6" t="s">
        <v>488</v>
      </c>
      <c r="E125" s="6" t="s">
        <v>489</v>
      </c>
      <c r="F125" s="6" t="s">
        <v>38</v>
      </c>
      <c r="G125" s="7" t="s">
        <v>39</v>
      </c>
    </row>
    <row r="126" spans="1:7" x14ac:dyDescent="0.45">
      <c r="A126" s="5" t="s">
        <v>490</v>
      </c>
      <c r="B126" s="6" t="str">
        <f>"Business Systems Analyst"</f>
        <v>Business Systems Analyst</v>
      </c>
      <c r="C126" s="6" t="s">
        <v>88</v>
      </c>
      <c r="D126" s="6" t="s">
        <v>491</v>
      </c>
      <c r="E126" s="6" t="s">
        <v>492</v>
      </c>
      <c r="F126" s="6" t="s">
        <v>38</v>
      </c>
      <c r="G126" s="7" t="s">
        <v>39</v>
      </c>
    </row>
    <row r="127" spans="1:7" x14ac:dyDescent="0.45">
      <c r="A127" s="5" t="s">
        <v>354</v>
      </c>
      <c r="B127" s="6" t="str">
        <f>"Data &amp; Integration Architect"</f>
        <v>Data &amp; Integration Architect</v>
      </c>
      <c r="C127" s="6" t="str">
        <f>"IT- Data and Integration"</f>
        <v>IT- Data and Integration</v>
      </c>
      <c r="D127" s="6" t="s">
        <v>357</v>
      </c>
      <c r="E127" s="6" t="s">
        <v>358</v>
      </c>
      <c r="F127" s="6" t="s">
        <v>38</v>
      </c>
      <c r="G127" s="7" t="s">
        <v>39</v>
      </c>
    </row>
    <row r="128" spans="1:7" x14ac:dyDescent="0.45">
      <c r="A128" s="5" t="s">
        <v>368</v>
      </c>
      <c r="B128" s="6" t="s">
        <v>120</v>
      </c>
      <c r="C128" s="6" t="str">
        <f>"IT Services (RTS)"</f>
        <v>IT Services (RTS)</v>
      </c>
      <c r="D128" s="6" t="s">
        <v>369</v>
      </c>
      <c r="E128" s="6" t="s">
        <v>370</v>
      </c>
      <c r="F128" s="6" t="s">
        <v>38</v>
      </c>
      <c r="G128" s="7" t="s">
        <v>39</v>
      </c>
    </row>
    <row r="129" spans="1:7" x14ac:dyDescent="0.45">
      <c r="A129" s="5" t="s">
        <v>427</v>
      </c>
      <c r="B129" s="6" t="s">
        <v>159</v>
      </c>
      <c r="C129" s="6" t="str">
        <f>"IT- Network"</f>
        <v>IT- Network</v>
      </c>
      <c r="D129" s="6" t="s">
        <v>428</v>
      </c>
      <c r="E129" s="6" t="s">
        <v>429</v>
      </c>
      <c r="F129" s="6" t="s">
        <v>38</v>
      </c>
      <c r="G129" s="7" t="s">
        <v>39</v>
      </c>
    </row>
    <row r="130" spans="1:7" x14ac:dyDescent="0.45">
      <c r="A130" s="8" t="s">
        <v>427</v>
      </c>
      <c r="B130" s="9" t="s">
        <v>159</v>
      </c>
      <c r="C130" s="6" t="str">
        <f>"IT- Network"</f>
        <v>IT- Network</v>
      </c>
      <c r="D130" s="6" t="s">
        <v>428</v>
      </c>
      <c r="E130" s="6" t="s">
        <v>429</v>
      </c>
      <c r="F130" s="6" t="s">
        <v>38</v>
      </c>
      <c r="G130" s="7" t="s">
        <v>39</v>
      </c>
    </row>
    <row r="131" spans="1:7" x14ac:dyDescent="0.45">
      <c r="A131" s="5" t="s">
        <v>329</v>
      </c>
      <c r="B131" s="6" t="str">
        <f>"PMO Analyst"</f>
        <v>PMO Analyst</v>
      </c>
      <c r="C131" s="6" t="str">
        <f>"IT- PMO"</f>
        <v>IT- PMO</v>
      </c>
      <c r="D131" s="6" t="s">
        <v>331</v>
      </c>
      <c r="E131" s="6" t="s">
        <v>332</v>
      </c>
      <c r="F131" s="6" t="s">
        <v>38</v>
      </c>
      <c r="G131" s="7" t="s">
        <v>39</v>
      </c>
    </row>
    <row r="132" spans="1:7" x14ac:dyDescent="0.45">
      <c r="A132" s="5" t="s">
        <v>175</v>
      </c>
      <c r="B132" s="6" t="str">
        <f>"Database Administrator"</f>
        <v>Database Administrator</v>
      </c>
      <c r="C132" s="6" t="str">
        <f>"Reasor's Application Development"</f>
        <v>Reasor's Application Development</v>
      </c>
      <c r="D132" s="6" t="s">
        <v>178</v>
      </c>
      <c r="E132" s="6" t="s">
        <v>179</v>
      </c>
      <c r="F132" s="6" t="s">
        <v>38</v>
      </c>
      <c r="G132" s="7" t="s">
        <v>39</v>
      </c>
    </row>
    <row r="133" spans="1:7" x14ac:dyDescent="0.45">
      <c r="A133" s="5" t="s">
        <v>268</v>
      </c>
      <c r="B133" s="6" t="s">
        <v>187</v>
      </c>
      <c r="C133" s="6" t="s">
        <v>188</v>
      </c>
      <c r="D133" s="6" t="s">
        <v>269</v>
      </c>
      <c r="E133" s="6" t="s">
        <v>270</v>
      </c>
      <c r="F133" s="6" t="s">
        <v>38</v>
      </c>
      <c r="G133" s="7" t="s">
        <v>39</v>
      </c>
    </row>
    <row r="134" spans="1:7" x14ac:dyDescent="0.45">
      <c r="A134" s="5" t="s">
        <v>323</v>
      </c>
      <c r="B134" s="6" t="s">
        <v>80</v>
      </c>
      <c r="C134" s="6" t="str">
        <f>"IT-SC BSM"</f>
        <v>IT-SC BSM</v>
      </c>
      <c r="D134" s="6" t="s">
        <v>324</v>
      </c>
      <c r="E134" s="6" t="s">
        <v>325</v>
      </c>
      <c r="F134" s="6" t="s">
        <v>38</v>
      </c>
      <c r="G134" s="7" t="s">
        <v>39</v>
      </c>
    </row>
    <row r="135" spans="1:7" x14ac:dyDescent="0.45">
      <c r="A135" s="5" t="s">
        <v>359</v>
      </c>
      <c r="B135" s="6" t="str">
        <f>"Technical Project Lead"</f>
        <v>Technical Project Lead</v>
      </c>
      <c r="C135" s="6" t="str">
        <f>"IT-Application Development"</f>
        <v>IT-Application Development</v>
      </c>
      <c r="D135" s="6" t="s">
        <v>360</v>
      </c>
      <c r="E135" s="6" t="s">
        <v>361</v>
      </c>
      <c r="F135" s="6" t="s">
        <v>38</v>
      </c>
      <c r="G135" s="7" t="s">
        <v>39</v>
      </c>
    </row>
    <row r="136" spans="1:7" x14ac:dyDescent="0.45">
      <c r="A136" s="10" t="s">
        <v>380</v>
      </c>
      <c r="B136" s="11" t="str">
        <f>"Information Security Engineer"</f>
        <v>Information Security Engineer</v>
      </c>
      <c r="C136" s="11" t="str">
        <f>"IT- Security"</f>
        <v>IT- Security</v>
      </c>
      <c r="D136" s="11" t="s">
        <v>382</v>
      </c>
      <c r="E136" s="11" t="s">
        <v>383</v>
      </c>
      <c r="F136" s="11" t="s">
        <v>38</v>
      </c>
      <c r="G136" s="12" t="s">
        <v>39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32699-C411-49E9-92BD-761516CE0B24}">
  <dimension ref="A1:E23"/>
  <sheetViews>
    <sheetView showGridLines="0" workbookViewId="0">
      <selection activeCell="D39" sqref="D39"/>
    </sheetView>
  </sheetViews>
  <sheetFormatPr defaultColWidth="31.265625" defaultRowHeight="14.25" x14ac:dyDescent="0.45"/>
  <cols>
    <col min="1" max="1" width="32.1328125" bestFit="1" customWidth="1"/>
    <col min="2" max="2" width="18.265625" bestFit="1" customWidth="1"/>
    <col min="3" max="3" width="9.265625" bestFit="1" customWidth="1"/>
    <col min="4" max="4" width="38.59765625" style="1" bestFit="1" customWidth="1"/>
    <col min="5" max="5" width="18.73046875" bestFit="1" customWidth="1"/>
  </cols>
  <sheetData>
    <row r="1" spans="1:5" x14ac:dyDescent="0.45">
      <c r="A1" s="34" t="s">
        <v>495</v>
      </c>
      <c r="B1" s="35" t="s">
        <v>496</v>
      </c>
      <c r="C1" s="35" t="s">
        <v>32</v>
      </c>
      <c r="D1" s="35" t="s">
        <v>497</v>
      </c>
      <c r="E1" s="35" t="s">
        <v>41</v>
      </c>
    </row>
    <row r="2" spans="1:5" x14ac:dyDescent="0.45">
      <c r="A2" s="24" t="s">
        <v>498</v>
      </c>
      <c r="B2" s="25" t="s">
        <v>499</v>
      </c>
      <c r="C2" s="26" t="s">
        <v>39</v>
      </c>
      <c r="D2" s="26" t="s">
        <v>500</v>
      </c>
      <c r="E2" s="5" t="s">
        <v>40</v>
      </c>
    </row>
    <row r="3" spans="1:5" x14ac:dyDescent="0.45">
      <c r="A3" s="24" t="s">
        <v>501</v>
      </c>
      <c r="B3" s="25" t="s">
        <v>502</v>
      </c>
      <c r="C3" s="26" t="s">
        <v>39</v>
      </c>
      <c r="D3" s="26" t="s">
        <v>503</v>
      </c>
      <c r="E3" s="8" t="s">
        <v>60</v>
      </c>
    </row>
    <row r="4" spans="1:5" x14ac:dyDescent="0.45">
      <c r="A4" s="24" t="s">
        <v>504</v>
      </c>
      <c r="B4" s="25" t="s">
        <v>505</v>
      </c>
      <c r="C4" s="26" t="s">
        <v>39</v>
      </c>
      <c r="D4" s="26" t="s">
        <v>506</v>
      </c>
      <c r="E4" s="26" t="s">
        <v>107</v>
      </c>
    </row>
    <row r="5" spans="1:5" x14ac:dyDescent="0.45">
      <c r="A5" s="24" t="s">
        <v>507</v>
      </c>
      <c r="B5" s="25" t="s">
        <v>508</v>
      </c>
      <c r="C5" s="26" t="s">
        <v>39</v>
      </c>
      <c r="D5" s="26" t="s">
        <v>509</v>
      </c>
      <c r="E5" s="26" t="s">
        <v>107</v>
      </c>
    </row>
    <row r="6" spans="1:5" x14ac:dyDescent="0.45">
      <c r="A6" s="24" t="s">
        <v>510</v>
      </c>
      <c r="B6" s="25" t="s">
        <v>511</v>
      </c>
      <c r="C6" s="26" t="s">
        <v>39</v>
      </c>
      <c r="D6" s="26" t="s">
        <v>512</v>
      </c>
      <c r="E6" s="26" t="s">
        <v>229</v>
      </c>
    </row>
    <row r="7" spans="1:5" x14ac:dyDescent="0.45">
      <c r="A7" s="24" t="s">
        <v>513</v>
      </c>
      <c r="B7" s="25" t="s">
        <v>514</v>
      </c>
      <c r="C7" s="26" t="s">
        <v>39</v>
      </c>
      <c r="D7" s="26" t="s">
        <v>515</v>
      </c>
      <c r="E7" s="26" t="s">
        <v>336</v>
      </c>
    </row>
    <row r="8" spans="1:5" x14ac:dyDescent="0.45">
      <c r="A8" s="24" t="s">
        <v>516</v>
      </c>
      <c r="B8" s="25" t="s">
        <v>517</v>
      </c>
      <c r="C8" s="26" t="s">
        <v>39</v>
      </c>
      <c r="D8" s="26" t="s">
        <v>518</v>
      </c>
      <c r="E8" s="26" t="s">
        <v>229</v>
      </c>
    </row>
    <row r="9" spans="1:5" x14ac:dyDescent="0.45">
      <c r="A9" s="24" t="s">
        <v>519</v>
      </c>
      <c r="B9" s="25" t="s">
        <v>520</v>
      </c>
      <c r="C9" s="26" t="s">
        <v>39</v>
      </c>
      <c r="D9" s="26" t="s">
        <v>521</v>
      </c>
      <c r="E9" s="5" t="s">
        <v>40</v>
      </c>
    </row>
    <row r="10" spans="1:5" x14ac:dyDescent="0.45">
      <c r="A10" s="24" t="s">
        <v>522</v>
      </c>
      <c r="B10" s="25" t="s">
        <v>523</v>
      </c>
      <c r="C10" s="26" t="s">
        <v>39</v>
      </c>
      <c r="D10" s="26" t="s">
        <v>524</v>
      </c>
      <c r="E10" s="26" t="s">
        <v>336</v>
      </c>
    </row>
    <row r="11" spans="1:5" x14ac:dyDescent="0.45">
      <c r="A11" s="24" t="s">
        <v>525</v>
      </c>
      <c r="B11" s="25" t="s">
        <v>526</v>
      </c>
      <c r="C11" s="26" t="s">
        <v>39</v>
      </c>
      <c r="D11" s="26" t="s">
        <v>527</v>
      </c>
      <c r="E11" s="26" t="s">
        <v>229</v>
      </c>
    </row>
    <row r="12" spans="1:5" x14ac:dyDescent="0.45">
      <c r="A12" s="24" t="s">
        <v>528</v>
      </c>
      <c r="B12" s="25" t="s">
        <v>529</v>
      </c>
      <c r="C12" s="26" t="s">
        <v>39</v>
      </c>
      <c r="D12" s="26" t="s">
        <v>530</v>
      </c>
      <c r="E12" s="26" t="s">
        <v>229</v>
      </c>
    </row>
    <row r="13" spans="1:5" x14ac:dyDescent="0.45">
      <c r="A13" s="24" t="s">
        <v>531</v>
      </c>
      <c r="B13" s="25" t="s">
        <v>532</v>
      </c>
      <c r="C13" s="26" t="s">
        <v>39</v>
      </c>
      <c r="D13" s="26" t="s">
        <v>533</v>
      </c>
      <c r="E13" s="26" t="s">
        <v>60</v>
      </c>
    </row>
    <row r="14" spans="1:5" x14ac:dyDescent="0.45">
      <c r="A14" s="24" t="s">
        <v>534</v>
      </c>
      <c r="B14" s="25" t="s">
        <v>535</v>
      </c>
      <c r="C14" s="26" t="s">
        <v>39</v>
      </c>
      <c r="D14" s="26" t="s">
        <v>536</v>
      </c>
      <c r="E14" s="5" t="s">
        <v>107</v>
      </c>
    </row>
    <row r="15" spans="1:5" x14ac:dyDescent="0.45">
      <c r="A15" s="24" t="s">
        <v>537</v>
      </c>
      <c r="B15" s="25" t="s">
        <v>538</v>
      </c>
      <c r="C15" s="26" t="s">
        <v>39</v>
      </c>
      <c r="D15" s="26" t="s">
        <v>539</v>
      </c>
      <c r="E15" s="26" t="s">
        <v>336</v>
      </c>
    </row>
    <row r="16" spans="1:5" x14ac:dyDescent="0.45">
      <c r="A16" s="24" t="s">
        <v>540</v>
      </c>
      <c r="B16" s="25" t="s">
        <v>541</v>
      </c>
      <c r="C16" s="26" t="s">
        <v>39</v>
      </c>
      <c r="D16" s="26" t="s">
        <v>542</v>
      </c>
      <c r="E16" s="26" t="s">
        <v>60</v>
      </c>
    </row>
    <row r="17" spans="1:5" x14ac:dyDescent="0.45">
      <c r="A17" s="24" t="s">
        <v>543</v>
      </c>
      <c r="B17" s="25" t="s">
        <v>544</v>
      </c>
      <c r="C17" s="26" t="s">
        <v>39</v>
      </c>
      <c r="D17" s="26" t="s">
        <v>545</v>
      </c>
      <c r="E17" s="26" t="s">
        <v>107</v>
      </c>
    </row>
    <row r="18" spans="1:5" x14ac:dyDescent="0.45">
      <c r="A18" s="24" t="s">
        <v>546</v>
      </c>
      <c r="B18" s="25" t="s">
        <v>547</v>
      </c>
      <c r="C18" s="26" t="s">
        <v>39</v>
      </c>
      <c r="D18" s="26" t="s">
        <v>548</v>
      </c>
      <c r="E18" s="5" t="s">
        <v>40</v>
      </c>
    </row>
    <row r="19" spans="1:5" x14ac:dyDescent="0.45">
      <c r="A19" s="24" t="s">
        <v>549</v>
      </c>
      <c r="B19" s="25" t="s">
        <v>550</v>
      </c>
      <c r="C19" s="26" t="s">
        <v>39</v>
      </c>
      <c r="D19" s="26" t="s">
        <v>551</v>
      </c>
      <c r="E19" s="26" t="s">
        <v>336</v>
      </c>
    </row>
    <row r="20" spans="1:5" x14ac:dyDescent="0.45">
      <c r="A20" s="24" t="s">
        <v>552</v>
      </c>
      <c r="B20" s="25" t="s">
        <v>553</v>
      </c>
      <c r="C20" s="26" t="s">
        <v>86</v>
      </c>
      <c r="D20" s="26" t="s">
        <v>554</v>
      </c>
      <c r="E20" s="5" t="s">
        <v>40</v>
      </c>
    </row>
    <row r="21" spans="1:5" x14ac:dyDescent="0.45">
      <c r="A21" s="24" t="s">
        <v>555</v>
      </c>
      <c r="B21" s="25" t="s">
        <v>556</v>
      </c>
      <c r="C21" s="26" t="s">
        <v>86</v>
      </c>
      <c r="D21" s="26" t="s">
        <v>557</v>
      </c>
      <c r="E21" s="5" t="s">
        <v>107</v>
      </c>
    </row>
    <row r="22" spans="1:5" x14ac:dyDescent="0.45">
      <c r="A22" s="24" t="s">
        <v>558</v>
      </c>
      <c r="B22" s="25" t="s">
        <v>559</v>
      </c>
      <c r="C22" s="26" t="s">
        <v>86</v>
      </c>
      <c r="D22" s="26" t="s">
        <v>560</v>
      </c>
      <c r="E22" s="26" t="s">
        <v>229</v>
      </c>
    </row>
    <row r="23" spans="1:5" x14ac:dyDescent="0.45">
      <c r="A23" s="27" t="s">
        <v>561</v>
      </c>
      <c r="B23" s="28" t="s">
        <v>562</v>
      </c>
      <c r="C23" s="29" t="s">
        <v>86</v>
      </c>
      <c r="D23" s="29" t="s">
        <v>563</v>
      </c>
      <c r="E23" s="8" t="s">
        <v>107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84394-8ECA-4001-ABC9-501580E14F8B}">
  <dimension ref="A1:C28"/>
  <sheetViews>
    <sheetView showGridLines="0" topLeftCell="A13" workbookViewId="0">
      <selection activeCell="G15" sqref="G15"/>
    </sheetView>
  </sheetViews>
  <sheetFormatPr defaultRowHeight="14.25" x14ac:dyDescent="0.45"/>
  <cols>
    <col min="1" max="1" width="20.59765625" bestFit="1" customWidth="1"/>
    <col min="2" max="2" width="31.265625" customWidth="1"/>
    <col min="3" max="3" width="62.73046875" style="1" customWidth="1"/>
  </cols>
  <sheetData>
    <row r="1" spans="1:3" ht="30" customHeight="1" x14ac:dyDescent="0.65">
      <c r="A1" s="59" t="s">
        <v>564</v>
      </c>
      <c r="B1" s="59"/>
      <c r="C1" s="59"/>
    </row>
    <row r="2" spans="1:3" x14ac:dyDescent="0.45">
      <c r="A2" s="3"/>
      <c r="B2" s="3"/>
      <c r="C2" s="13"/>
    </row>
    <row r="3" spans="1:3" x14ac:dyDescent="0.45">
      <c r="A3" s="3"/>
      <c r="B3" s="14" t="s">
        <v>565</v>
      </c>
      <c r="C3" s="15" t="s">
        <v>566</v>
      </c>
    </row>
    <row r="4" spans="1:3" ht="28.5" x14ac:dyDescent="0.45">
      <c r="A4" s="60" t="s">
        <v>495</v>
      </c>
      <c r="B4" s="5" t="s">
        <v>567</v>
      </c>
      <c r="C4" s="16" t="s">
        <v>568</v>
      </c>
    </row>
    <row r="5" spans="1:3" ht="28.5" x14ac:dyDescent="0.45">
      <c r="A5" s="60"/>
      <c r="B5" s="5" t="s">
        <v>569</v>
      </c>
      <c r="C5" s="17" t="s">
        <v>570</v>
      </c>
    </row>
    <row r="6" spans="1:3" ht="28.5" x14ac:dyDescent="0.45">
      <c r="A6" s="60"/>
      <c r="B6" s="5" t="s">
        <v>571</v>
      </c>
      <c r="C6" s="17" t="s">
        <v>572</v>
      </c>
    </row>
    <row r="7" spans="1:3" ht="28.5" x14ac:dyDescent="0.45">
      <c r="A7" s="60"/>
      <c r="B7" s="5" t="s">
        <v>573</v>
      </c>
      <c r="C7" s="17" t="s">
        <v>574</v>
      </c>
    </row>
    <row r="8" spans="1:3" ht="42.75" x14ac:dyDescent="0.45">
      <c r="A8" s="60"/>
      <c r="B8" s="5" t="s">
        <v>575</v>
      </c>
      <c r="C8" s="17" t="s">
        <v>576</v>
      </c>
    </row>
    <row r="9" spans="1:3" ht="28.5" x14ac:dyDescent="0.45">
      <c r="A9" s="60"/>
      <c r="B9" s="5" t="s">
        <v>577</v>
      </c>
      <c r="C9" s="17" t="s">
        <v>578</v>
      </c>
    </row>
    <row r="10" spans="1:3" ht="28.5" x14ac:dyDescent="0.45">
      <c r="A10" s="60"/>
      <c r="B10" s="5" t="s">
        <v>579</v>
      </c>
      <c r="C10" s="17" t="s">
        <v>580</v>
      </c>
    </row>
    <row r="11" spans="1:3" ht="28.5" x14ac:dyDescent="0.45">
      <c r="A11" s="60"/>
      <c r="B11" s="5" t="s">
        <v>581</v>
      </c>
      <c r="C11" s="17" t="s">
        <v>582</v>
      </c>
    </row>
    <row r="12" spans="1:3" ht="28.5" x14ac:dyDescent="0.45">
      <c r="A12" s="60"/>
      <c r="B12" s="5" t="s">
        <v>583</v>
      </c>
      <c r="C12" s="17" t="s">
        <v>584</v>
      </c>
    </row>
    <row r="13" spans="1:3" ht="28.5" x14ac:dyDescent="0.45">
      <c r="A13" s="60"/>
      <c r="B13" s="5" t="s">
        <v>585</v>
      </c>
      <c r="C13" s="17" t="s">
        <v>586</v>
      </c>
    </row>
    <row r="14" spans="1:3" ht="42.75" x14ac:dyDescent="0.45">
      <c r="A14" s="60"/>
      <c r="B14" s="10" t="s">
        <v>587</v>
      </c>
      <c r="C14" s="18" t="s">
        <v>588</v>
      </c>
    </row>
    <row r="15" spans="1:3" x14ac:dyDescent="0.45">
      <c r="A15" s="3"/>
      <c r="B15" s="3"/>
      <c r="C15" s="13"/>
    </row>
    <row r="16" spans="1:3" x14ac:dyDescent="0.45">
      <c r="A16" s="3"/>
      <c r="B16" s="3"/>
      <c r="C16" s="13"/>
    </row>
    <row r="17" spans="1:3" ht="21" x14ac:dyDescent="0.65">
      <c r="A17" s="59" t="s">
        <v>589</v>
      </c>
      <c r="B17" s="59"/>
      <c r="C17" s="59"/>
    </row>
    <row r="18" spans="1:3" x14ac:dyDescent="0.45">
      <c r="A18" s="30"/>
      <c r="B18" s="30"/>
      <c r="C18" s="30"/>
    </row>
    <row r="19" spans="1:3" x14ac:dyDescent="0.45">
      <c r="A19" s="14" t="s">
        <v>590</v>
      </c>
      <c r="B19" s="19" t="s">
        <v>591</v>
      </c>
      <c r="C19" s="15" t="s">
        <v>566</v>
      </c>
    </row>
    <row r="20" spans="1:3" ht="28.5" x14ac:dyDescent="0.45">
      <c r="A20" s="5" t="s">
        <v>592</v>
      </c>
      <c r="B20" s="6" t="s">
        <v>593</v>
      </c>
      <c r="C20" s="17" t="s">
        <v>594</v>
      </c>
    </row>
    <row r="21" spans="1:3" ht="28.5" x14ac:dyDescent="0.45">
      <c r="A21" s="5" t="s">
        <v>592</v>
      </c>
      <c r="B21" s="6" t="s">
        <v>595</v>
      </c>
      <c r="C21" s="17" t="s">
        <v>596</v>
      </c>
    </row>
    <row r="22" spans="1:3" ht="28.5" x14ac:dyDescent="0.45">
      <c r="A22" s="5" t="s">
        <v>592</v>
      </c>
      <c r="B22" s="6" t="s">
        <v>597</v>
      </c>
      <c r="C22" s="17" t="s">
        <v>598</v>
      </c>
    </row>
    <row r="23" spans="1:3" ht="28.5" x14ac:dyDescent="0.45">
      <c r="A23" s="5" t="s">
        <v>599</v>
      </c>
      <c r="B23" s="6" t="s">
        <v>600</v>
      </c>
      <c r="C23" s="17" t="s">
        <v>601</v>
      </c>
    </row>
    <row r="24" spans="1:3" ht="28.5" x14ac:dyDescent="0.45">
      <c r="A24" s="5" t="s">
        <v>599</v>
      </c>
      <c r="B24" s="6" t="s">
        <v>602</v>
      </c>
      <c r="C24" s="17" t="s">
        <v>603</v>
      </c>
    </row>
    <row r="25" spans="1:3" x14ac:dyDescent="0.45">
      <c r="A25" s="5" t="s">
        <v>604</v>
      </c>
      <c r="B25" s="6" t="s">
        <v>605</v>
      </c>
      <c r="C25" s="17" t="s">
        <v>606</v>
      </c>
    </row>
    <row r="26" spans="1:3" ht="28.5" x14ac:dyDescent="0.45">
      <c r="A26" s="5" t="s">
        <v>604</v>
      </c>
      <c r="B26" s="6" t="s">
        <v>607</v>
      </c>
      <c r="C26" s="17" t="s">
        <v>608</v>
      </c>
    </row>
    <row r="27" spans="1:3" x14ac:dyDescent="0.45">
      <c r="A27" s="5" t="s">
        <v>604</v>
      </c>
      <c r="B27" s="6" t="s">
        <v>609</v>
      </c>
      <c r="C27" s="17" t="s">
        <v>610</v>
      </c>
    </row>
    <row r="28" spans="1:3" x14ac:dyDescent="0.45">
      <c r="A28" s="10" t="s">
        <v>604</v>
      </c>
      <c r="B28" s="11" t="s">
        <v>611</v>
      </c>
      <c r="C28" s="18" t="s">
        <v>612</v>
      </c>
    </row>
  </sheetData>
  <mergeCells count="3">
    <mergeCell ref="A1:C1"/>
    <mergeCell ref="A17:C17"/>
    <mergeCell ref="A4:A14"/>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C3CE-0866-42C9-8612-3B54FB3D3FF5}">
  <dimension ref="A1:C16"/>
  <sheetViews>
    <sheetView showGridLines="0" topLeftCell="A2" workbookViewId="0">
      <selection activeCell="H13" sqref="H13"/>
    </sheetView>
  </sheetViews>
  <sheetFormatPr defaultRowHeight="14.25" x14ac:dyDescent="0.45"/>
  <cols>
    <col min="1" max="1" width="25.265625" bestFit="1" customWidth="1"/>
    <col min="2" max="2" width="18" bestFit="1" customWidth="1"/>
    <col min="3" max="3" width="51.59765625" style="1" customWidth="1"/>
  </cols>
  <sheetData>
    <row r="1" spans="1:3" ht="30" customHeight="1" x14ac:dyDescent="0.65">
      <c r="A1" s="61" t="s">
        <v>613</v>
      </c>
      <c r="B1" s="62"/>
      <c r="C1" s="63"/>
    </row>
    <row r="2" spans="1:3" x14ac:dyDescent="0.45">
      <c r="A2" s="3"/>
      <c r="B2" s="3"/>
      <c r="C2" s="13"/>
    </row>
    <row r="3" spans="1:3" x14ac:dyDescent="0.45">
      <c r="A3" s="14" t="s">
        <v>565</v>
      </c>
      <c r="B3" s="19" t="s">
        <v>614</v>
      </c>
      <c r="C3" s="15" t="s">
        <v>497</v>
      </c>
    </row>
    <row r="4" spans="1:3" x14ac:dyDescent="0.45">
      <c r="A4" s="5" t="s">
        <v>567</v>
      </c>
      <c r="B4" s="6" t="s">
        <v>615</v>
      </c>
      <c r="C4" s="17" t="s">
        <v>616</v>
      </c>
    </row>
    <row r="5" spans="1:3" x14ac:dyDescent="0.45">
      <c r="A5" s="5" t="s">
        <v>569</v>
      </c>
      <c r="B5" s="6" t="s">
        <v>615</v>
      </c>
      <c r="C5" s="17" t="s">
        <v>616</v>
      </c>
    </row>
    <row r="6" spans="1:3" ht="28.5" x14ac:dyDescent="0.45">
      <c r="A6" s="5" t="s">
        <v>571</v>
      </c>
      <c r="B6" s="6" t="s">
        <v>617</v>
      </c>
      <c r="C6" s="17" t="s">
        <v>618</v>
      </c>
    </row>
    <row r="7" spans="1:3" x14ac:dyDescent="0.45">
      <c r="A7" s="5" t="s">
        <v>573</v>
      </c>
      <c r="B7" s="6" t="s">
        <v>617</v>
      </c>
      <c r="C7" s="17" t="s">
        <v>619</v>
      </c>
    </row>
    <row r="8" spans="1:3" ht="28.5" x14ac:dyDescent="0.45">
      <c r="A8" s="5" t="s">
        <v>575</v>
      </c>
      <c r="B8" s="6" t="s">
        <v>617</v>
      </c>
      <c r="C8" s="17" t="s">
        <v>620</v>
      </c>
    </row>
    <row r="9" spans="1:3" x14ac:dyDescent="0.45">
      <c r="A9" s="5" t="s">
        <v>577</v>
      </c>
      <c r="B9" s="6" t="s">
        <v>617</v>
      </c>
      <c r="C9" s="17" t="s">
        <v>621</v>
      </c>
    </row>
    <row r="10" spans="1:3" x14ac:dyDescent="0.45">
      <c r="A10" s="5" t="s">
        <v>579</v>
      </c>
      <c r="B10" s="6" t="s">
        <v>615</v>
      </c>
      <c r="C10" s="17" t="s">
        <v>622</v>
      </c>
    </row>
    <row r="11" spans="1:3" ht="28.5" x14ac:dyDescent="0.45">
      <c r="A11" s="5" t="s">
        <v>581</v>
      </c>
      <c r="B11" s="6" t="s">
        <v>617</v>
      </c>
      <c r="C11" s="17" t="s">
        <v>623</v>
      </c>
    </row>
    <row r="12" spans="1:3" ht="28.5" x14ac:dyDescent="0.45">
      <c r="A12" s="5" t="s">
        <v>583</v>
      </c>
      <c r="B12" s="6" t="s">
        <v>615</v>
      </c>
      <c r="C12" s="17" t="s">
        <v>624</v>
      </c>
    </row>
    <row r="13" spans="1:3" x14ac:dyDescent="0.45">
      <c r="A13" s="5" t="s">
        <v>585</v>
      </c>
      <c r="B13" s="6" t="s">
        <v>615</v>
      </c>
      <c r="C13" s="17" t="s">
        <v>625</v>
      </c>
    </row>
    <row r="14" spans="1:3" x14ac:dyDescent="0.45">
      <c r="A14" s="10" t="s">
        <v>587</v>
      </c>
      <c r="B14" s="11" t="s">
        <v>626</v>
      </c>
      <c r="C14" s="18" t="s">
        <v>627</v>
      </c>
    </row>
    <row r="15" spans="1:3" x14ac:dyDescent="0.45">
      <c r="A15" s="3"/>
      <c r="B15" s="3"/>
      <c r="C15" s="13"/>
    </row>
    <row r="16" spans="1:3" ht="18" x14ac:dyDescent="0.55000000000000004">
      <c r="A16" s="64" t="s">
        <v>628</v>
      </c>
      <c r="B16" s="64"/>
      <c r="C16" s="64"/>
    </row>
  </sheetData>
  <mergeCells count="2">
    <mergeCell ref="A1:C1"/>
    <mergeCell ref="A16:C16"/>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F9391-23BF-471E-975E-A6F49CC0CCB6}">
  <dimension ref="A2:O16"/>
  <sheetViews>
    <sheetView showGridLines="0" workbookViewId="0">
      <selection activeCell="G29" sqref="G29"/>
    </sheetView>
  </sheetViews>
  <sheetFormatPr defaultRowHeight="14.25" x14ac:dyDescent="0.45"/>
  <cols>
    <col min="1" max="1" width="8.265625" bestFit="1" customWidth="1"/>
    <col min="2" max="2" width="7.265625" bestFit="1" customWidth="1"/>
    <col min="3" max="4" width="12.3984375" bestFit="1" customWidth="1"/>
    <col min="5" max="5" width="6.73046875" bestFit="1" customWidth="1"/>
    <col min="6" max="6" width="8.59765625" bestFit="1" customWidth="1"/>
    <col min="7" max="7" width="9.3984375" bestFit="1" customWidth="1"/>
    <col min="8" max="8" width="13" customWidth="1"/>
    <col min="9" max="9" width="8.265625" bestFit="1" customWidth="1"/>
    <col min="10" max="10" width="7.265625" bestFit="1" customWidth="1"/>
    <col min="11" max="12" width="12.3984375" bestFit="1" customWidth="1"/>
    <col min="13" max="13" width="6.73046875" bestFit="1" customWidth="1"/>
    <col min="14" max="14" width="8.59765625" bestFit="1" customWidth="1"/>
    <col min="15" max="15" width="9.3984375" bestFit="1" customWidth="1"/>
  </cols>
  <sheetData>
    <row r="2" spans="1:15" ht="43.9" customHeight="1" x14ac:dyDescent="0.45">
      <c r="A2" s="65" t="s">
        <v>629</v>
      </c>
      <c r="B2" s="65"/>
      <c r="C2" s="65"/>
      <c r="D2" s="65"/>
      <c r="E2" s="65"/>
      <c r="F2" s="65"/>
      <c r="G2" s="65"/>
      <c r="H2" s="65"/>
      <c r="I2" s="65"/>
      <c r="J2" s="65"/>
      <c r="K2" s="65"/>
      <c r="L2" s="65"/>
      <c r="M2" s="65"/>
      <c r="N2" s="65"/>
      <c r="O2" s="65"/>
    </row>
    <row r="3" spans="1:15" ht="30" customHeight="1" x14ac:dyDescent="0.45">
      <c r="A3" s="66" t="s">
        <v>630</v>
      </c>
      <c r="B3" s="66"/>
      <c r="C3" s="66"/>
      <c r="D3" s="66"/>
      <c r="E3" s="66"/>
      <c r="F3" s="66"/>
      <c r="G3" s="66"/>
      <c r="H3" s="3"/>
      <c r="I3" s="66" t="s">
        <v>631</v>
      </c>
      <c r="J3" s="66"/>
      <c r="K3" s="66"/>
      <c r="L3" s="66"/>
      <c r="M3" s="66"/>
      <c r="N3" s="66"/>
      <c r="O3" s="66"/>
    </row>
    <row r="4" spans="1:15" x14ac:dyDescent="0.45">
      <c r="A4" s="36" t="s">
        <v>632</v>
      </c>
      <c r="B4" s="36" t="s">
        <v>633</v>
      </c>
      <c r="C4" s="36" t="s">
        <v>634</v>
      </c>
      <c r="D4" s="36" t="s">
        <v>635</v>
      </c>
      <c r="E4" s="36" t="s">
        <v>636</v>
      </c>
      <c r="F4" s="36" t="s">
        <v>637</v>
      </c>
      <c r="G4" s="36" t="s">
        <v>638</v>
      </c>
      <c r="H4" s="23"/>
      <c r="I4" s="36" t="s">
        <v>632</v>
      </c>
      <c r="J4" s="36" t="s">
        <v>633</v>
      </c>
      <c r="K4" s="36" t="s">
        <v>634</v>
      </c>
      <c r="L4" s="36" t="s">
        <v>635</v>
      </c>
      <c r="M4" s="36" t="s">
        <v>636</v>
      </c>
      <c r="N4" s="36" t="s">
        <v>637</v>
      </c>
      <c r="O4" s="36" t="s">
        <v>638</v>
      </c>
    </row>
    <row r="5" spans="1:15" x14ac:dyDescent="0.45">
      <c r="A5" s="20">
        <v>1</v>
      </c>
      <c r="B5" s="20">
        <v>1</v>
      </c>
      <c r="C5" s="21">
        <v>45931</v>
      </c>
      <c r="D5" s="21">
        <v>45958</v>
      </c>
      <c r="E5" s="20">
        <v>4</v>
      </c>
      <c r="F5" s="20"/>
      <c r="G5" s="20">
        <v>4</v>
      </c>
      <c r="H5" s="22"/>
      <c r="I5" s="20">
        <v>1</v>
      </c>
      <c r="J5" s="20">
        <v>1</v>
      </c>
      <c r="K5" s="21">
        <v>46295</v>
      </c>
      <c r="L5" s="21">
        <v>46322</v>
      </c>
      <c r="M5" s="20">
        <v>4</v>
      </c>
      <c r="N5" s="20"/>
      <c r="O5" s="20">
        <v>4</v>
      </c>
    </row>
    <row r="6" spans="1:15" x14ac:dyDescent="0.45">
      <c r="A6" s="20">
        <v>1</v>
      </c>
      <c r="B6" s="20">
        <v>2</v>
      </c>
      <c r="C6" s="21">
        <v>45959</v>
      </c>
      <c r="D6" s="21">
        <v>45993</v>
      </c>
      <c r="E6" s="20">
        <v>5</v>
      </c>
      <c r="F6" s="20"/>
      <c r="G6" s="20">
        <v>9</v>
      </c>
      <c r="H6" s="22"/>
      <c r="I6" s="20">
        <v>1</v>
      </c>
      <c r="J6" s="20">
        <v>2</v>
      </c>
      <c r="K6" s="21">
        <v>46323</v>
      </c>
      <c r="L6" s="21">
        <v>46357</v>
      </c>
      <c r="M6" s="20">
        <v>5</v>
      </c>
      <c r="N6" s="20"/>
      <c r="O6" s="20">
        <v>9</v>
      </c>
    </row>
    <row r="7" spans="1:15" x14ac:dyDescent="0.45">
      <c r="A7" s="20">
        <v>1</v>
      </c>
      <c r="B7" s="20">
        <v>3</v>
      </c>
      <c r="C7" s="21">
        <v>45994</v>
      </c>
      <c r="D7" s="21">
        <v>46028</v>
      </c>
      <c r="E7" s="20">
        <v>5</v>
      </c>
      <c r="F7" s="20">
        <v>14</v>
      </c>
      <c r="G7" s="20">
        <v>14</v>
      </c>
      <c r="H7" s="22"/>
      <c r="I7" s="20">
        <v>1</v>
      </c>
      <c r="J7" s="20">
        <v>3</v>
      </c>
      <c r="K7" s="21">
        <v>46358</v>
      </c>
      <c r="L7" s="21">
        <v>46392</v>
      </c>
      <c r="M7" s="20">
        <v>5</v>
      </c>
      <c r="N7" s="20">
        <v>14</v>
      </c>
      <c r="O7" s="20">
        <v>14</v>
      </c>
    </row>
    <row r="8" spans="1:15" x14ac:dyDescent="0.45">
      <c r="A8" s="20">
        <v>2</v>
      </c>
      <c r="B8" s="20">
        <v>4</v>
      </c>
      <c r="C8" s="21">
        <v>46029</v>
      </c>
      <c r="D8" s="21">
        <v>46056</v>
      </c>
      <c r="E8" s="20">
        <v>4</v>
      </c>
      <c r="F8" s="20"/>
      <c r="G8" s="20">
        <v>18</v>
      </c>
      <c r="H8" s="22"/>
      <c r="I8" s="20">
        <v>2</v>
      </c>
      <c r="J8" s="20">
        <v>4</v>
      </c>
      <c r="K8" s="21">
        <v>46393</v>
      </c>
      <c r="L8" s="21">
        <v>46420</v>
      </c>
      <c r="M8" s="20">
        <v>4</v>
      </c>
      <c r="N8" s="20"/>
      <c r="O8" s="20">
        <v>18</v>
      </c>
    </row>
    <row r="9" spans="1:15" x14ac:dyDescent="0.45">
      <c r="A9" s="20">
        <v>2</v>
      </c>
      <c r="B9" s="20">
        <v>5</v>
      </c>
      <c r="C9" s="21">
        <v>46057</v>
      </c>
      <c r="D9" s="21">
        <v>46091</v>
      </c>
      <c r="E9" s="20">
        <v>5</v>
      </c>
      <c r="F9" s="20"/>
      <c r="G9" s="20">
        <v>23</v>
      </c>
      <c r="H9" s="22"/>
      <c r="I9" s="20">
        <v>2</v>
      </c>
      <c r="J9" s="20">
        <v>5</v>
      </c>
      <c r="K9" s="21">
        <v>46421</v>
      </c>
      <c r="L9" s="21">
        <v>46455</v>
      </c>
      <c r="M9" s="20">
        <v>5</v>
      </c>
      <c r="N9" s="20"/>
      <c r="O9" s="20">
        <v>23</v>
      </c>
    </row>
    <row r="10" spans="1:15" x14ac:dyDescent="0.45">
      <c r="A10" s="20">
        <v>2</v>
      </c>
      <c r="B10" s="20">
        <v>6</v>
      </c>
      <c r="C10" s="21">
        <v>46092</v>
      </c>
      <c r="D10" s="21">
        <v>46119</v>
      </c>
      <c r="E10" s="20">
        <v>4</v>
      </c>
      <c r="F10" s="20">
        <v>13</v>
      </c>
      <c r="G10" s="20">
        <v>27</v>
      </c>
      <c r="H10" s="22"/>
      <c r="I10" s="20">
        <v>2</v>
      </c>
      <c r="J10" s="20">
        <v>6</v>
      </c>
      <c r="K10" s="21">
        <v>46456</v>
      </c>
      <c r="L10" s="21">
        <v>46483</v>
      </c>
      <c r="M10" s="20">
        <v>4</v>
      </c>
      <c r="N10" s="20">
        <v>13</v>
      </c>
      <c r="O10" s="20">
        <v>27</v>
      </c>
    </row>
    <row r="11" spans="1:15" x14ac:dyDescent="0.45">
      <c r="A11" s="20">
        <v>3</v>
      </c>
      <c r="B11" s="20">
        <v>7</v>
      </c>
      <c r="C11" s="21">
        <v>46120</v>
      </c>
      <c r="D11" s="21">
        <v>46147</v>
      </c>
      <c r="E11" s="20">
        <v>4</v>
      </c>
      <c r="F11" s="20"/>
      <c r="G11" s="20">
        <v>31</v>
      </c>
      <c r="H11" s="22"/>
      <c r="I11" s="20">
        <v>3</v>
      </c>
      <c r="J11" s="20">
        <v>7</v>
      </c>
      <c r="K11" s="21">
        <v>46484</v>
      </c>
      <c r="L11" s="21">
        <v>46511</v>
      </c>
      <c r="M11" s="20">
        <v>4</v>
      </c>
      <c r="N11" s="20"/>
      <c r="O11" s="20">
        <v>31</v>
      </c>
    </row>
    <row r="12" spans="1:15" x14ac:dyDescent="0.45">
      <c r="A12" s="20">
        <v>3</v>
      </c>
      <c r="B12" s="20">
        <v>8</v>
      </c>
      <c r="C12" s="21">
        <v>46148</v>
      </c>
      <c r="D12" s="21">
        <v>46182</v>
      </c>
      <c r="E12" s="20">
        <v>5</v>
      </c>
      <c r="F12" s="20"/>
      <c r="G12" s="20">
        <v>36</v>
      </c>
      <c r="H12" s="22"/>
      <c r="I12" s="20">
        <v>3</v>
      </c>
      <c r="J12" s="20">
        <v>8</v>
      </c>
      <c r="K12" s="21">
        <v>46512</v>
      </c>
      <c r="L12" s="21">
        <v>46546</v>
      </c>
      <c r="M12" s="20">
        <v>5</v>
      </c>
      <c r="N12" s="20"/>
      <c r="O12" s="20">
        <v>36</v>
      </c>
    </row>
    <row r="13" spans="1:15" x14ac:dyDescent="0.45">
      <c r="A13" s="20">
        <v>3</v>
      </c>
      <c r="B13" s="20">
        <v>9</v>
      </c>
      <c r="C13" s="21">
        <v>46183</v>
      </c>
      <c r="D13" s="21">
        <v>46210</v>
      </c>
      <c r="E13" s="20">
        <v>4</v>
      </c>
      <c r="F13" s="20">
        <v>13</v>
      </c>
      <c r="G13" s="20">
        <v>40</v>
      </c>
      <c r="H13" s="22"/>
      <c r="I13" s="20">
        <v>3</v>
      </c>
      <c r="J13" s="20">
        <v>9</v>
      </c>
      <c r="K13" s="21">
        <v>46547</v>
      </c>
      <c r="L13" s="21">
        <v>46574</v>
      </c>
      <c r="M13" s="20">
        <v>4</v>
      </c>
      <c r="N13" s="20">
        <v>13</v>
      </c>
      <c r="O13" s="20">
        <v>40</v>
      </c>
    </row>
    <row r="14" spans="1:15" x14ac:dyDescent="0.45">
      <c r="A14" s="20">
        <v>4</v>
      </c>
      <c r="B14" s="20">
        <v>10</v>
      </c>
      <c r="C14" s="21">
        <v>46211</v>
      </c>
      <c r="D14" s="21">
        <v>46238</v>
      </c>
      <c r="E14" s="20">
        <v>4</v>
      </c>
      <c r="F14" s="20"/>
      <c r="G14" s="20">
        <v>44</v>
      </c>
      <c r="H14" s="22"/>
      <c r="I14" s="20">
        <v>4</v>
      </c>
      <c r="J14" s="20">
        <v>10</v>
      </c>
      <c r="K14" s="21">
        <v>46575</v>
      </c>
      <c r="L14" s="21">
        <v>46602</v>
      </c>
      <c r="M14" s="20">
        <v>4</v>
      </c>
      <c r="N14" s="20"/>
      <c r="O14" s="20">
        <v>44</v>
      </c>
    </row>
    <row r="15" spans="1:15" x14ac:dyDescent="0.45">
      <c r="A15" s="20">
        <v>4</v>
      </c>
      <c r="B15" s="20">
        <v>11</v>
      </c>
      <c r="C15" s="21">
        <v>46239</v>
      </c>
      <c r="D15" s="21">
        <v>46266</v>
      </c>
      <c r="E15" s="20">
        <v>4</v>
      </c>
      <c r="F15" s="20"/>
      <c r="G15" s="20">
        <v>48</v>
      </c>
      <c r="H15" s="22"/>
      <c r="I15" s="20">
        <v>4</v>
      </c>
      <c r="J15" s="20">
        <v>11</v>
      </c>
      <c r="K15" s="21">
        <v>46603</v>
      </c>
      <c r="L15" s="21">
        <v>46630</v>
      </c>
      <c r="M15" s="20">
        <v>4</v>
      </c>
      <c r="N15" s="20"/>
      <c r="O15" s="20">
        <v>48</v>
      </c>
    </row>
    <row r="16" spans="1:15" x14ac:dyDescent="0.45">
      <c r="A16" s="20">
        <v>4</v>
      </c>
      <c r="B16" s="20">
        <v>12</v>
      </c>
      <c r="C16" s="21">
        <v>46267</v>
      </c>
      <c r="D16" s="21">
        <v>46294</v>
      </c>
      <c r="E16" s="20">
        <v>4</v>
      </c>
      <c r="F16" s="20">
        <v>12</v>
      </c>
      <c r="G16" s="20">
        <v>52</v>
      </c>
      <c r="H16" s="22"/>
      <c r="I16" s="20">
        <v>4</v>
      </c>
      <c r="J16" s="20">
        <v>12</v>
      </c>
      <c r="K16" s="21">
        <v>46631</v>
      </c>
      <c r="L16" s="21">
        <v>46658</v>
      </c>
      <c r="M16" s="20">
        <v>4</v>
      </c>
      <c r="N16" s="20">
        <v>12</v>
      </c>
      <c r="O16" s="20">
        <v>52</v>
      </c>
    </row>
  </sheetData>
  <mergeCells count="3">
    <mergeCell ref="A2:O2"/>
    <mergeCell ref="A3:G3"/>
    <mergeCell ref="I3:O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52518fe-58a3-40e8-96d7-889582df2299" xsi:nil="true"/>
    <lcf76f155ced4ddcb4097134ff3c332f xmlns="396e3c1e-30d1-41dd-a571-0927a085355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9FB760B3AC08548BAC04B4C19EFD560" ma:contentTypeVersion="15" ma:contentTypeDescription="Create a new document." ma:contentTypeScope="" ma:versionID="5b3089e1d7dc09c333515d94d666d7ad">
  <xsd:schema xmlns:xsd="http://www.w3.org/2001/XMLSchema" xmlns:xs="http://www.w3.org/2001/XMLSchema" xmlns:p="http://schemas.microsoft.com/office/2006/metadata/properties" xmlns:ns2="396e3c1e-30d1-41dd-a571-0927a0853553" xmlns:ns3="a52518fe-58a3-40e8-96d7-889582df2299" targetNamespace="http://schemas.microsoft.com/office/2006/metadata/properties" ma:root="true" ma:fieldsID="add4fce68b0122234499989eab2387f4" ns2:_="" ns3:_="">
    <xsd:import namespace="396e3c1e-30d1-41dd-a571-0927a0853553"/>
    <xsd:import namespace="a52518fe-58a3-40e8-96d7-889582df229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6e3c1e-30d1-41dd-a571-0927a08535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2869885-5213-4a9e-a3aa-03977fe5999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2518fe-58a3-40e8-96d7-889582df229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fd6cb120-99ae-4127-9ce6-c0d3d36875e1}" ma:internalName="TaxCatchAll" ma:showField="CatchAllData" ma:web="a52518fe-58a3-40e8-96d7-889582df22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4ABC2C-A34B-47D9-93FD-26E7CA891A67}">
  <ds:schemaRefs>
    <ds:schemaRef ds:uri="http://schemas.openxmlformats.org/package/2006/metadata/core-properties"/>
    <ds:schemaRef ds:uri="http://purl.org/dc/terms/"/>
    <ds:schemaRef ds:uri="http://purl.org/dc/elements/1.1/"/>
    <ds:schemaRef ds:uri="http://schemas.microsoft.com/office/2006/metadata/properties"/>
    <ds:schemaRef ds:uri="a52518fe-58a3-40e8-96d7-889582df2299"/>
    <ds:schemaRef ds:uri="396e3c1e-30d1-41dd-a571-0927a0853553"/>
    <ds:schemaRef ds:uri="http://purl.org/dc/dcmitype/"/>
    <ds:schemaRef ds:uri="http://schemas.microsoft.com/office/2006/documentManagement/typ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49449C9-B8F7-40C0-BEA6-C0042A638D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6e3c1e-30d1-41dd-a571-0927a0853553"/>
    <ds:schemaRef ds:uri="a52518fe-58a3-40e8-96d7-889582df22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92EBD69-6AA4-406C-93F4-A8F11D01A2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 Here</vt:lpstr>
      <vt:lpstr>Directory Extract</vt:lpstr>
      <vt:lpstr>Partner Directory</vt:lpstr>
      <vt:lpstr>Project List</vt:lpstr>
      <vt:lpstr>Categories</vt:lpstr>
      <vt:lpstr>CapEx - OpEx Classification</vt:lpstr>
      <vt:lpstr>FY26 -FY27 Calendar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Rosna Karmacharya</dc:creator>
  <cp:keywords/>
  <dc:description/>
  <cp:lastModifiedBy>Corinne Wiedel</cp:lastModifiedBy>
  <cp:revision/>
  <dcterms:created xsi:type="dcterms:W3CDTF">2026-08-19T16:48:10Z</dcterms:created>
  <dcterms:modified xsi:type="dcterms:W3CDTF">2026-08-26T23:49:53Z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0x01010069FB760B3AC08548BAC04B4C19EFD560</vt:lpwstr>
  </property>
  <property fmtid="{D5CDD505-2E9C-101B-9397-08002B2CF9AE}" pid="3" name="MediaServiceImageTags">
    <vt:lpwstr/>
  </property>
</Properties>
</file>